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3ba1a37554c01127/Lux_Dev/Excel/Jumia_DSE_project/"/>
    </mc:Choice>
  </mc:AlternateContent>
  <xr:revisionPtr revIDLastSave="4" documentId="8_{570555BB-7E7D-4C75-82A1-FF29BD39EA15}" xr6:coauthVersionLast="47" xr6:coauthVersionMax="47" xr10:uidLastSave="{B48675BA-B470-40E0-A22C-B1CEB4EA4EEA}"/>
  <bookViews>
    <workbookView xWindow="-110" yWindow="-110" windowWidth="19420" windowHeight="10300" activeTab="2" xr2:uid="{35AAEF8D-AC33-4451-A4E9-BA06F51D72B5}"/>
  </bookViews>
  <sheets>
    <sheet name="jumia_clean_dataset" sheetId="1" r:id="rId1"/>
    <sheet name="Dashboard analysis" sheetId="2" r:id="rId2"/>
    <sheet name="Dashboard" sheetId="3" r:id="rId3"/>
  </sheets>
  <externalReferences>
    <externalReference r:id="rId4"/>
  </externalReferences>
  <definedNames>
    <definedName name="Slicer_Discount_Category">#N/A</definedName>
    <definedName name="Slicer_Price_Category">#N/A</definedName>
  </definedNames>
  <calcPr calcId="0"/>
  <pivotCaches>
    <pivotCache cacheId="1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1" i="2" l="1"/>
  <c r="B21" i="2" s="1"/>
  <c r="C20" i="2"/>
  <c r="B20" i="2" s="1"/>
  <c r="J3" i="1" a="1"/>
  <c r="J4" i="1" a="1"/>
  <c r="J5" i="1" a="1"/>
  <c r="J6" i="1" a="1"/>
  <c r="J7" i="1" a="1"/>
  <c r="J8" i="1" a="1"/>
  <c r="J9" i="1" a="1"/>
  <c r="J10" i="1" a="1"/>
  <c r="J11" i="1" a="1"/>
  <c r="J12" i="1" a="1"/>
  <c r="J13" i="1" a="1"/>
  <c r="J14" i="1" a="1"/>
  <c r="J15" i="1" a="1"/>
  <c r="J16" i="1" a="1"/>
  <c r="J17" i="1" a="1"/>
  <c r="J18" i="1" a="1"/>
  <c r="J19" i="1" a="1"/>
  <c r="J20" i="1" a="1"/>
  <c r="J21" i="1" a="1"/>
  <c r="J22" i="1" a="1"/>
  <c r="J23" i="1" a="1"/>
  <c r="J24" i="1" a="1"/>
  <c r="J25" i="1" a="1"/>
  <c r="J26" i="1" a="1"/>
  <c r="J27" i="1" a="1"/>
  <c r="J28" i="1" a="1"/>
  <c r="J29" i="1" a="1"/>
  <c r="J30" i="1" a="1"/>
  <c r="J31" i="1" a="1"/>
  <c r="J32" i="1" a="1"/>
  <c r="J33" i="1" a="1"/>
  <c r="J34" i="1" a="1"/>
  <c r="J35" i="1" a="1"/>
  <c r="J36" i="1" a="1"/>
  <c r="J37" i="1" a="1"/>
  <c r="J38" i="1" a="1"/>
  <c r="J39" i="1" a="1"/>
  <c r="J40" i="1" a="1"/>
  <c r="J41" i="1" a="1"/>
  <c r="J42" i="1" a="1"/>
  <c r="J43" i="1" a="1"/>
  <c r="J44" i="1" a="1"/>
  <c r="J45" i="1" a="1"/>
  <c r="J46" i="1" a="1"/>
  <c r="J47" i="1" a="1"/>
  <c r="J48" i="1" a="1"/>
  <c r="J49" i="1" a="1"/>
  <c r="J50" i="1" a="1"/>
  <c r="J51" i="1" a="1"/>
  <c r="J52" i="1" a="1"/>
  <c r="J53" i="1" a="1"/>
  <c r="J54" i="1" a="1"/>
  <c r="J55" i="1" a="1"/>
  <c r="J56" i="1" a="1"/>
  <c r="J57" i="1" a="1"/>
  <c r="J58" i="1" a="1"/>
  <c r="J59" i="1" a="1"/>
  <c r="J60" i="1" a="1"/>
  <c r="J61" i="1" a="1"/>
  <c r="J62" i="1" a="1"/>
  <c r="J63" i="1" a="1"/>
  <c r="J64" i="1" a="1"/>
  <c r="J65" i="1" a="1"/>
  <c r="J66" i="1" a="1"/>
  <c r="J67" i="1" a="1"/>
  <c r="J68" i="1" a="1"/>
  <c r="J69" i="1" a="1"/>
  <c r="J70" i="1" a="1"/>
  <c r="J71" i="1" a="1"/>
  <c r="J72" i="1" a="1"/>
  <c r="J73" i="1" a="1"/>
  <c r="J74" i="1" a="1"/>
  <c r="J75" i="1" a="1"/>
  <c r="J76" i="1" a="1"/>
  <c r="J77" i="1" a="1"/>
  <c r="J78" i="1" a="1"/>
  <c r="J79" i="1" a="1"/>
  <c r="J80" i="1" a="1"/>
  <c r="J81" i="1" a="1"/>
  <c r="J82" i="1" a="1"/>
  <c r="J83" i="1" a="1"/>
  <c r="J84" i="1" a="1"/>
  <c r="J85" i="1" a="1"/>
  <c r="J86" i="1" a="1"/>
  <c r="J87" i="1" a="1"/>
  <c r="J88" i="1" a="1"/>
  <c r="J89" i="1" a="1"/>
  <c r="J90" i="1" a="1"/>
  <c r="J91" i="1" a="1"/>
  <c r="J92" i="1" a="1"/>
  <c r="J93" i="1" a="1"/>
  <c r="J94" i="1" a="1"/>
  <c r="J95" i="1" a="1"/>
  <c r="J96" i="1" a="1"/>
  <c r="J97" i="1" a="1"/>
  <c r="J98" i="1" a="1"/>
  <c r="J99" i="1" a="1"/>
  <c r="J100" i="1" a="1"/>
  <c r="J101" i="1" a="1"/>
  <c r="J102" i="1" a="1"/>
  <c r="J103" i="1" a="1"/>
  <c r="J104" i="1" a="1"/>
  <c r="J105" i="1" a="1"/>
  <c r="J106" i="1" a="1"/>
  <c r="J107" i="1" a="1"/>
  <c r="J108" i="1" a="1"/>
  <c r="J109" i="1" a="1"/>
  <c r="J110" i="1" a="1"/>
  <c r="J111" i="1" a="1"/>
  <c r="J112" i="1" a="1"/>
  <c r="J113" i="1" a="1"/>
  <c r="J2" i="1" a="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2" i="1"/>
  <c r="B8" i="2"/>
  <c r="B7" i="2"/>
  <c r="B6" i="2"/>
  <c r="B5" i="2"/>
  <c r="B4" i="2"/>
  <c r="B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<sst xmlns="http://schemas.openxmlformats.org/spreadsheetml/2006/main" count="214" uniqueCount="146">
  <si>
    <t>Product</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</si>
  <si>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</si>
  <si>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</si>
  <si>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</si>
  <si>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</si>
  <si>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</si>
  <si>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</si>
  <si>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</si>
  <si>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</si>
  <si>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</si>
  <si>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</si>
  <si>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</si>
  <si>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</si>
  <si>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</si>
  <si>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</si>
  <si>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</si>
  <si>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</si>
  <si>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</si>
  <si>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</si>
  <si>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</si>
  <si>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</si>
  <si>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</si>
  <si>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</si>
  <si>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</si>
  <si>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</si>
  <si>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</si>
  <si>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</si>
  <si>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</si>
  <si>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</si>
  <si>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</si>
  <si>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</si>
  <si>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</si>
  <si>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</si>
  <si>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</si>
  <si>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</si>
  <si>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</si>
  <si>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</si>
  <si>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</si>
  <si>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</si>
  <si>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</si>
  <si>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</si>
  <si>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</si>
  <si>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</si>
  <si>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</si>
  <si>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</si>
  <si>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</si>
  <si>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</si>
  <si>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</si>
  <si>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</si>
  <si>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</si>
  <si>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</si>
  <si>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</si>
  <si>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</si>
  <si>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</si>
  <si>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</si>
  <si>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</si>
  <si>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</si>
  <si>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</si>
  <si>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</si>
  <si>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</si>
  <si>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</si>
  <si>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</si>
  <si>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</si>
  <si>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</si>
  <si>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</si>
  <si>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</si>
  <si>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</si>
  <si>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</si>
  <si>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</si>
  <si>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</si>
  <si>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</si>
  <si>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</si>
  <si>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</si>
  <si>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</si>
  <si>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</si>
  <si>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</si>
  <si>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</si>
  <si>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</si>
  <si>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</si>
  <si>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</si>
  <si>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</si>
  <si>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</si>
  <si>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</si>
  <si>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</si>
  <si>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</si>
  <si>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</si>
  <si>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</si>
  <si>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</si>
  <si>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</si>
  <si>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</si>
  <si>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</si>
  <si>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</si>
  <si>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</si>
  <si>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</si>
  <si>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</si>
  <si>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</si>
  <si>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</si>
  <si>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</si>
  <si>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</si>
  <si>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</si>
  <si>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</si>
  <si>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</si>
  <si>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</si>
  <si>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</si>
  <si>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</si>
  <si>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</si>
  <si>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</si>
  <si>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</si>
  <si>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</si>
  <si>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</si>
  <si>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</si>
  <si>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</si>
  <si>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Old_price</t>
  </si>
  <si>
    <t>Current_price</t>
  </si>
  <si>
    <t>Rating</t>
  </si>
  <si>
    <t>Not Rated</t>
  </si>
  <si>
    <t>Total Products</t>
  </si>
  <si>
    <t>Total Reviews</t>
  </si>
  <si>
    <t>Avg Current Price</t>
  </si>
  <si>
    <t>Avg Old Price</t>
  </si>
  <si>
    <t>Avg Discount %</t>
  </si>
  <si>
    <t>Avg Product Rating</t>
  </si>
  <si>
    <t>Price_Category</t>
  </si>
  <si>
    <t>Discount_Category</t>
  </si>
  <si>
    <t>Rating Category</t>
  </si>
  <si>
    <t>Row Labels</t>
  </si>
  <si>
    <t>Budget</t>
  </si>
  <si>
    <t>Mid-Range</t>
  </si>
  <si>
    <t>Premium</t>
  </si>
  <si>
    <t>Grand Total</t>
  </si>
  <si>
    <t>Count of Product</t>
  </si>
  <si>
    <t>Sum of Review</t>
  </si>
  <si>
    <t>High</t>
  </si>
  <si>
    <t xml:space="preserve">Low </t>
  </si>
  <si>
    <t>Medium</t>
  </si>
  <si>
    <t>Average</t>
  </si>
  <si>
    <t>Excellent</t>
  </si>
  <si>
    <t>Good</t>
  </si>
  <si>
    <t>Poor</t>
  </si>
  <si>
    <t>Extreme Category</t>
  </si>
  <si>
    <t>Product Name</t>
  </si>
  <si>
    <t>Price(Ksh)</t>
  </si>
  <si>
    <t>Most Expensive Product</t>
  </si>
  <si>
    <t>Least Expensice Product</t>
  </si>
  <si>
    <t>Price Category</t>
  </si>
  <si>
    <t>Discount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</si>
</sst>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9" formatCode="0.0"/>
    <numFmt numFmtId="173" formatCode="[$KES]\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style="thin">
        <color rgb="FFABABAB"/>
      </right>
      <top style="thin">
        <color rgb="FFABABAB"/>
      </top>
      <bottom style="thin">
        <color rgb="FFABABAB"/>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2" fontId="0" fillId="0" borderId="0" xfId="0" applyNumberFormat="1"/>
    <xf numFmtId="10" fontId="0" fillId="0" borderId="0" xfId="0" applyNumberFormat="1"/>
    <xf numFmtId="1" fontId="0" fillId="0" borderId="0" xfId="0" applyNumberFormat="1"/>
    <xf numFmtId="169" fontId="18" fillId="0" borderId="0" xfId="0" applyNumberFormat="1" applyFon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0" xfId="0" applyBorder="1"/>
    <xf numFmtId="173" fontId="0" fillId="0" borderId="0" xfId="1" applyNumberFormat="1" applyFont="1"/>
    <xf numFmtId="173" fontId="0" fillId="0" borderId="0" xfId="0" applyNumberFormat="1"/>
    <xf numFmtId="0" fontId="16"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[jumia_clean_dataset.xlsx]Dashboard analysis!Price Category</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chemeClr val="tx1"/>
                </a:solidFill>
              </a:rPr>
              <a:t>Product Distribution by Price Tier</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11595773742567893"/>
          <c:y val="2.737896013651035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1879586480261"/>
          <c:y val="0.23767726814826998"/>
          <c:w val="0.65191382327209102"/>
          <c:h val="0.57497995518184253"/>
        </c:manualLayout>
      </c:layout>
      <c:barChart>
        <c:barDir val="col"/>
        <c:grouping val="clustered"/>
        <c:varyColors val="0"/>
        <c:ser>
          <c:idx val="0"/>
          <c:order val="0"/>
          <c:tx>
            <c:strRef>
              <c:f>'Dashboard analysis'!$B$11</c:f>
              <c:strCache>
                <c:ptCount val="1"/>
                <c:pt idx="0">
                  <c:v>Sum of Review</c:v>
                </c:pt>
              </c:strCache>
            </c:strRef>
          </c:tx>
          <c:spPr>
            <a:solidFill>
              <a:schemeClr val="accent1"/>
            </a:solidFill>
            <a:ln>
              <a:noFill/>
            </a:ln>
            <a:effectLst/>
          </c:spPr>
          <c:invertIfNegative val="0"/>
          <c:cat>
            <c:strRef>
              <c:f>'Dashboard analysis'!$A$12:$A$15</c:f>
              <c:strCache>
                <c:ptCount val="3"/>
                <c:pt idx="0">
                  <c:v>Budget</c:v>
                </c:pt>
                <c:pt idx="1">
                  <c:v>Mid-Range</c:v>
                </c:pt>
                <c:pt idx="2">
                  <c:v>Premium</c:v>
                </c:pt>
              </c:strCache>
            </c:strRef>
          </c:cat>
          <c:val>
            <c:numRef>
              <c:f>'Dashboard analysis'!$B$12:$B$15</c:f>
              <c:numCache>
                <c:formatCode>General</c:formatCode>
                <c:ptCount val="3"/>
                <c:pt idx="0">
                  <c:v>232</c:v>
                </c:pt>
                <c:pt idx="1">
                  <c:v>209</c:v>
                </c:pt>
                <c:pt idx="2">
                  <c:v>282</c:v>
                </c:pt>
              </c:numCache>
            </c:numRef>
          </c:val>
          <c:extLst>
            <c:ext xmlns:c16="http://schemas.microsoft.com/office/drawing/2014/chart" uri="{C3380CC4-5D6E-409C-BE32-E72D297353CC}">
              <c16:uniqueId val="{00000000-C04B-4315-AC40-264526E50C81}"/>
            </c:ext>
          </c:extLst>
        </c:ser>
        <c:ser>
          <c:idx val="1"/>
          <c:order val="1"/>
          <c:tx>
            <c:strRef>
              <c:f>'Dashboard analysis'!$C$11</c:f>
              <c:strCache>
                <c:ptCount val="1"/>
                <c:pt idx="0">
                  <c:v>Count of Product</c:v>
                </c:pt>
              </c:strCache>
            </c:strRef>
          </c:tx>
          <c:spPr>
            <a:solidFill>
              <a:schemeClr val="accent2"/>
            </a:solidFill>
            <a:ln>
              <a:noFill/>
            </a:ln>
            <a:effectLst/>
          </c:spPr>
          <c:invertIfNegative val="0"/>
          <c:cat>
            <c:strRef>
              <c:f>'Dashboard analysis'!$A$12:$A$15</c:f>
              <c:strCache>
                <c:ptCount val="3"/>
                <c:pt idx="0">
                  <c:v>Budget</c:v>
                </c:pt>
                <c:pt idx="1">
                  <c:v>Mid-Range</c:v>
                </c:pt>
                <c:pt idx="2">
                  <c:v>Premium</c:v>
                </c:pt>
              </c:strCache>
            </c:strRef>
          </c:cat>
          <c:val>
            <c:numRef>
              <c:f>'Dashboard analysis'!$C$12:$C$15</c:f>
              <c:numCache>
                <c:formatCode>General</c:formatCode>
                <c:ptCount val="3"/>
                <c:pt idx="0">
                  <c:v>29</c:v>
                </c:pt>
                <c:pt idx="1">
                  <c:v>46</c:v>
                </c:pt>
                <c:pt idx="2">
                  <c:v>37</c:v>
                </c:pt>
              </c:numCache>
            </c:numRef>
          </c:val>
          <c:extLst>
            <c:ext xmlns:c16="http://schemas.microsoft.com/office/drawing/2014/chart" uri="{C3380CC4-5D6E-409C-BE32-E72D297353CC}">
              <c16:uniqueId val="{00000001-C04B-4315-AC40-264526E50C81}"/>
            </c:ext>
          </c:extLst>
        </c:ser>
        <c:dLbls>
          <c:showLegendKey val="0"/>
          <c:showVal val="0"/>
          <c:showCatName val="0"/>
          <c:showSerName val="0"/>
          <c:showPercent val="0"/>
          <c:showBubbleSize val="0"/>
        </c:dLbls>
        <c:gapWidth val="219"/>
        <c:overlap val="-27"/>
        <c:axId val="585053056"/>
        <c:axId val="1349967152"/>
      </c:barChart>
      <c:catAx>
        <c:axId val="585053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967152"/>
        <c:crosses val="autoZero"/>
        <c:auto val="1"/>
        <c:lblAlgn val="ctr"/>
        <c:lblOffset val="100"/>
        <c:noMultiLvlLbl val="0"/>
      </c:catAx>
      <c:valAx>
        <c:axId val="134996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05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[jumia_clean_dataset.xlsx]Dashboard analysis!Discount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Listings by Discount Depth</a:t>
            </a:r>
          </a:p>
          <a:p>
            <a:pPr>
              <a:defRPr/>
            </a:pPr>
            <a:endParaRPr lang="en-US"/>
          </a:p>
        </c:rich>
      </c:tx>
      <c:layout>
        <c:manualLayout>
          <c:xMode val="edge"/>
          <c:yMode val="edge"/>
          <c:x val="0.117336202539899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6"/>
          </a:solidFill>
          <a:ln w="19050">
            <a:solidFill>
              <a:schemeClr val="lt1"/>
            </a:solidFill>
          </a:ln>
          <a:effectLst/>
        </c:spPr>
      </c:pivotFmt>
    </c:pivotFmts>
    <c:plotArea>
      <c:layout>
        <c:manualLayout>
          <c:layoutTarget val="inner"/>
          <c:xMode val="edge"/>
          <c:yMode val="edge"/>
          <c:x val="0.20919646086641996"/>
          <c:y val="0.16936961282206589"/>
          <c:w val="0.43045268634706879"/>
          <c:h val="0.72081722033266549"/>
        </c:manualLayout>
      </c:layout>
      <c:doughnutChart>
        <c:varyColors val="1"/>
        <c:ser>
          <c:idx val="0"/>
          <c:order val="0"/>
          <c:tx>
            <c:strRef>
              <c:f>'Dashboard analysis'!$I$3</c:f>
              <c:strCache>
                <c:ptCount val="1"/>
                <c:pt idx="0">
                  <c:v>Sum of Review</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EB3-42F3-8B45-498485CF470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EB3-42F3-8B45-498485CF470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EB3-42F3-8B45-498485CF47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analysis'!$H$4:$H$7</c:f>
              <c:strCache>
                <c:ptCount val="3"/>
                <c:pt idx="0">
                  <c:v>High</c:v>
                </c:pt>
                <c:pt idx="1">
                  <c:v>Low </c:v>
                </c:pt>
                <c:pt idx="2">
                  <c:v>Medium</c:v>
                </c:pt>
              </c:strCache>
            </c:strRef>
          </c:cat>
          <c:val>
            <c:numRef>
              <c:f>'Dashboard analysis'!$I$4:$I$7</c:f>
              <c:numCache>
                <c:formatCode>General</c:formatCode>
                <c:ptCount val="3"/>
                <c:pt idx="0">
                  <c:v>334</c:v>
                </c:pt>
                <c:pt idx="1">
                  <c:v>38</c:v>
                </c:pt>
                <c:pt idx="2">
                  <c:v>351</c:v>
                </c:pt>
              </c:numCache>
            </c:numRef>
          </c:val>
          <c:extLst>
            <c:ext xmlns:c16="http://schemas.microsoft.com/office/drawing/2014/chart" uri="{C3380CC4-5D6E-409C-BE32-E72D297353CC}">
              <c16:uniqueId val="{00000006-0EB3-42F3-8B45-498485CF470D}"/>
            </c:ext>
          </c:extLst>
        </c:ser>
        <c:ser>
          <c:idx val="1"/>
          <c:order val="1"/>
          <c:tx>
            <c:strRef>
              <c:f>'Dashboard analysis'!$J$3</c:f>
              <c:strCache>
                <c:ptCount val="1"/>
                <c:pt idx="0">
                  <c:v>Count of Product</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8-0EB3-42F3-8B45-498485CF470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A-0EB3-42F3-8B45-498485CF470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C-0EB3-42F3-8B45-498485CF47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analysis'!$H$4:$H$7</c:f>
              <c:strCache>
                <c:ptCount val="3"/>
                <c:pt idx="0">
                  <c:v>High</c:v>
                </c:pt>
                <c:pt idx="1">
                  <c:v>Low </c:v>
                </c:pt>
                <c:pt idx="2">
                  <c:v>Medium</c:v>
                </c:pt>
              </c:strCache>
            </c:strRef>
          </c:cat>
          <c:val>
            <c:numRef>
              <c:f>'Dashboard analysis'!$J$4:$J$7</c:f>
              <c:numCache>
                <c:formatCode>General</c:formatCode>
                <c:ptCount val="3"/>
                <c:pt idx="0">
                  <c:v>62</c:v>
                </c:pt>
                <c:pt idx="1">
                  <c:v>18</c:v>
                </c:pt>
                <c:pt idx="2">
                  <c:v>32</c:v>
                </c:pt>
              </c:numCache>
            </c:numRef>
          </c:val>
          <c:extLst>
            <c:ext xmlns:c16="http://schemas.microsoft.com/office/drawing/2014/chart" uri="{C3380CC4-5D6E-409C-BE32-E72D297353CC}">
              <c16:uniqueId val="{0000000D-0EB3-42F3-8B45-498485CF470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[jumia_clean_dataset.xlsx]Dashboard analysis!Rating Category</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400"/>
              <a:t>Catalog Quality &amp; Customer Satisfaction Tiers</a:t>
            </a: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rich>
      </c:tx>
      <c:layout>
        <c:manualLayout>
          <c:xMode val="edge"/>
          <c:yMode val="edge"/>
          <c:x val="0.12736726344961069"/>
          <c:y val="4.19947506561679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62764654418197"/>
          <c:y val="0.20379027424721519"/>
          <c:w val="0.61482601341498977"/>
          <c:h val="0.68209519085704839"/>
        </c:manualLayout>
      </c:layout>
      <c:barChart>
        <c:barDir val="bar"/>
        <c:grouping val="clustered"/>
        <c:varyColors val="0"/>
        <c:ser>
          <c:idx val="0"/>
          <c:order val="0"/>
          <c:tx>
            <c:strRef>
              <c:f>'Dashboard analysis'!$I$11</c:f>
              <c:strCache>
                <c:ptCount val="1"/>
                <c:pt idx="0">
                  <c:v>Sum of Review</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 analysis'!$H$12:$H$17</c:f>
              <c:strCache>
                <c:ptCount val="5"/>
                <c:pt idx="0">
                  <c:v>Average</c:v>
                </c:pt>
                <c:pt idx="1">
                  <c:v>Excellent</c:v>
                </c:pt>
                <c:pt idx="2">
                  <c:v>Good</c:v>
                </c:pt>
                <c:pt idx="3">
                  <c:v>Not Rated</c:v>
                </c:pt>
                <c:pt idx="4">
                  <c:v>Poor</c:v>
                </c:pt>
              </c:strCache>
            </c:strRef>
          </c:cat>
          <c:val>
            <c:numRef>
              <c:f>'Dashboard analysis'!$I$12:$I$17</c:f>
              <c:numCache>
                <c:formatCode>General</c:formatCode>
                <c:ptCount val="5"/>
                <c:pt idx="0">
                  <c:v>93</c:v>
                </c:pt>
                <c:pt idx="1">
                  <c:v>289</c:v>
                </c:pt>
                <c:pt idx="2">
                  <c:v>172</c:v>
                </c:pt>
                <c:pt idx="3">
                  <c:v>0</c:v>
                </c:pt>
                <c:pt idx="4">
                  <c:v>169</c:v>
                </c:pt>
              </c:numCache>
            </c:numRef>
          </c:val>
          <c:extLst>
            <c:ext xmlns:c16="http://schemas.microsoft.com/office/drawing/2014/chart" uri="{C3380CC4-5D6E-409C-BE32-E72D297353CC}">
              <c16:uniqueId val="{00000000-32B3-49CE-8C50-6BA6AEEF1818}"/>
            </c:ext>
          </c:extLst>
        </c:ser>
        <c:ser>
          <c:idx val="1"/>
          <c:order val="1"/>
          <c:tx>
            <c:strRef>
              <c:f>'Dashboard analysis'!$J$11</c:f>
              <c:strCache>
                <c:ptCount val="1"/>
                <c:pt idx="0">
                  <c:v>Count of Product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 analysis'!$H$12:$H$17</c:f>
              <c:strCache>
                <c:ptCount val="5"/>
                <c:pt idx="0">
                  <c:v>Average</c:v>
                </c:pt>
                <c:pt idx="1">
                  <c:v>Excellent</c:v>
                </c:pt>
                <c:pt idx="2">
                  <c:v>Good</c:v>
                </c:pt>
                <c:pt idx="3">
                  <c:v>Not Rated</c:v>
                </c:pt>
                <c:pt idx="4">
                  <c:v>Poor</c:v>
                </c:pt>
              </c:strCache>
            </c:strRef>
          </c:cat>
          <c:val>
            <c:numRef>
              <c:f>'Dashboard analysis'!$J$12:$J$17</c:f>
              <c:numCache>
                <c:formatCode>General</c:formatCode>
                <c:ptCount val="5"/>
                <c:pt idx="0">
                  <c:v>13</c:v>
                </c:pt>
                <c:pt idx="1">
                  <c:v>19</c:v>
                </c:pt>
                <c:pt idx="2">
                  <c:v>13</c:v>
                </c:pt>
                <c:pt idx="3">
                  <c:v>55</c:v>
                </c:pt>
                <c:pt idx="4">
                  <c:v>12</c:v>
                </c:pt>
              </c:numCache>
            </c:numRef>
          </c:val>
          <c:extLst>
            <c:ext xmlns:c16="http://schemas.microsoft.com/office/drawing/2014/chart" uri="{C3380CC4-5D6E-409C-BE32-E72D297353CC}">
              <c16:uniqueId val="{00000001-32B3-49CE-8C50-6BA6AEEF1818}"/>
            </c:ext>
          </c:extLst>
        </c:ser>
        <c:dLbls>
          <c:dLblPos val="inEnd"/>
          <c:showLegendKey val="0"/>
          <c:showVal val="1"/>
          <c:showCatName val="0"/>
          <c:showSerName val="0"/>
          <c:showPercent val="0"/>
          <c:showBubbleSize val="0"/>
        </c:dLbls>
        <c:gapWidth val="65"/>
        <c:axId val="494217504"/>
        <c:axId val="349587952"/>
      </c:barChart>
      <c:catAx>
        <c:axId val="494217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9587952"/>
        <c:crosses val="autoZero"/>
        <c:auto val="1"/>
        <c:lblAlgn val="ctr"/>
        <c:lblOffset val="100"/>
        <c:noMultiLvlLbl val="0"/>
      </c:catAx>
      <c:valAx>
        <c:axId val="3495879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4217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2</xdr:row>
      <xdr:rowOff>19050</xdr:rowOff>
    </xdr:from>
    <xdr:to>
      <xdr:col>3</xdr:col>
      <xdr:colOff>184150</xdr:colOff>
      <xdr:row>6</xdr:row>
      <xdr:rowOff>82550</xdr:rowOff>
    </xdr:to>
    <xdr:grpSp>
      <xdr:nvGrpSpPr>
        <xdr:cNvPr id="8" name="Group 7">
          <a:extLst>
            <a:ext uri="{FF2B5EF4-FFF2-40B4-BE49-F238E27FC236}">
              <a16:creationId xmlns:a16="http://schemas.microsoft.com/office/drawing/2014/main" id="{EA4E8A20-5721-73E7-71E0-DA9838DFE304}"/>
            </a:ext>
          </a:extLst>
        </xdr:cNvPr>
        <xdr:cNvGrpSpPr/>
      </xdr:nvGrpSpPr>
      <xdr:grpSpPr>
        <a:xfrm>
          <a:off x="127000" y="387350"/>
          <a:ext cx="1885950" cy="800100"/>
          <a:chOff x="19050" y="425450"/>
          <a:chExt cx="1885950" cy="800100"/>
        </a:xfrm>
      </xdr:grpSpPr>
      <xdr:sp macro="" textlink="">
        <xdr:nvSpPr>
          <xdr:cNvPr id="2" name="Rectangle: Rounded Corners 1">
            <a:extLst>
              <a:ext uri="{FF2B5EF4-FFF2-40B4-BE49-F238E27FC236}">
                <a16:creationId xmlns:a16="http://schemas.microsoft.com/office/drawing/2014/main" id="{32AE357C-9BE1-C815-9DE4-F287A0E51D82}"/>
              </a:ext>
            </a:extLst>
          </xdr:cNvPr>
          <xdr:cNvSpPr/>
        </xdr:nvSpPr>
        <xdr:spPr>
          <a:xfrm>
            <a:off x="19050" y="425450"/>
            <a:ext cx="1885950" cy="800100"/>
          </a:xfrm>
          <a:prstGeom prst="roundRect">
            <a:avLst/>
          </a:prstGeom>
          <a:solidFill>
            <a:schemeClr val="bg1"/>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1">
              <a:solidFill>
                <a:schemeClr val="accent1">
                  <a:lumMod val="75000"/>
                </a:schemeClr>
              </a:solidFill>
            </a:endParaRPr>
          </a:p>
          <a:p>
            <a:pPr algn="l"/>
            <a:endParaRPr lang="en-US" sz="1100">
              <a:solidFill>
                <a:schemeClr val="tx1"/>
              </a:solidFill>
            </a:endParaRPr>
          </a:p>
          <a:p>
            <a:pPr algn="l"/>
            <a:endParaRPr lang="en-US" sz="1100">
              <a:solidFill>
                <a:schemeClr val="tx1"/>
              </a:solidFill>
            </a:endParaRPr>
          </a:p>
        </xdr:txBody>
      </xdr:sp>
      <xdr:sp macro="" textlink="">
        <xdr:nvSpPr>
          <xdr:cNvPr id="6" name="TextBox 5">
            <a:extLst>
              <a:ext uri="{FF2B5EF4-FFF2-40B4-BE49-F238E27FC236}">
                <a16:creationId xmlns:a16="http://schemas.microsoft.com/office/drawing/2014/main" id="{4CE214FC-6193-2952-292C-14249B144950}"/>
              </a:ext>
            </a:extLst>
          </xdr:cNvPr>
          <xdr:cNvSpPr txBox="1"/>
        </xdr:nvSpPr>
        <xdr:spPr>
          <a:xfrm>
            <a:off x="152400" y="476250"/>
            <a:ext cx="14922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TOTAL</a:t>
            </a:r>
            <a:r>
              <a:rPr lang="en-US" sz="1100" b="1" baseline="0">
                <a:solidFill>
                  <a:schemeClr val="accent1">
                    <a:lumMod val="75000"/>
                  </a:schemeClr>
                </a:solidFill>
              </a:rPr>
              <a:t>  LISTINGS</a:t>
            </a:r>
          </a:p>
          <a:p>
            <a:pPr algn="ctr"/>
            <a:endParaRPr lang="en-US" sz="1100" b="1" baseline="0">
              <a:solidFill>
                <a:schemeClr val="accent1">
                  <a:lumMod val="75000"/>
                </a:schemeClr>
              </a:solidFill>
            </a:endParaRPr>
          </a:p>
          <a:p>
            <a:endParaRPr lang="en-US" sz="1100" baseline="0"/>
          </a:p>
          <a:p>
            <a:endParaRPr lang="en-US" sz="1100"/>
          </a:p>
        </xdr:txBody>
      </xdr:sp>
      <xdr:sp macro="" textlink="'Dashboard analysis'!B3">
        <xdr:nvSpPr>
          <xdr:cNvPr id="7" name="TextBox 6">
            <a:extLst>
              <a:ext uri="{FF2B5EF4-FFF2-40B4-BE49-F238E27FC236}">
                <a16:creationId xmlns:a16="http://schemas.microsoft.com/office/drawing/2014/main" id="{FC5C1592-BF1F-CA6F-9EB0-1A4B6179EC34}"/>
              </a:ext>
            </a:extLst>
          </xdr:cNvPr>
          <xdr:cNvSpPr txBox="1"/>
        </xdr:nvSpPr>
        <xdr:spPr>
          <a:xfrm>
            <a:off x="241300" y="806450"/>
            <a:ext cx="13716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A8D1EB-1539-44A8-B36B-92E22FA58D85}" type="TxLink">
              <a:rPr lang="en-US" sz="1400" b="1" i="0" u="none" strike="noStrike">
                <a:solidFill>
                  <a:srgbClr val="000000"/>
                </a:solidFill>
                <a:latin typeface="Calibri"/>
                <a:ea typeface="Calibri"/>
                <a:cs typeface="Calibri"/>
              </a:rPr>
              <a:pPr algn="ctr"/>
              <a:t>112</a:t>
            </a:fld>
            <a:endParaRPr lang="en-US" sz="1400" b="1"/>
          </a:p>
        </xdr:txBody>
      </xdr:sp>
    </xdr:grpSp>
    <xdr:clientData/>
  </xdr:twoCellAnchor>
  <xdr:twoCellAnchor>
    <xdr:from>
      <xdr:col>4</xdr:col>
      <xdr:colOff>419100</xdr:colOff>
      <xdr:row>1</xdr:row>
      <xdr:rowOff>152400</xdr:rowOff>
    </xdr:from>
    <xdr:to>
      <xdr:col>7</xdr:col>
      <xdr:colOff>584200</xdr:colOff>
      <xdr:row>6</xdr:row>
      <xdr:rowOff>88900</xdr:rowOff>
    </xdr:to>
    <xdr:grpSp>
      <xdr:nvGrpSpPr>
        <xdr:cNvPr id="15" name="Group 14">
          <a:extLst>
            <a:ext uri="{FF2B5EF4-FFF2-40B4-BE49-F238E27FC236}">
              <a16:creationId xmlns:a16="http://schemas.microsoft.com/office/drawing/2014/main" id="{2AB30D84-CC2B-1FC5-8B7E-63DEE7FFE918}"/>
            </a:ext>
          </a:extLst>
        </xdr:cNvPr>
        <xdr:cNvGrpSpPr/>
      </xdr:nvGrpSpPr>
      <xdr:grpSpPr>
        <a:xfrm>
          <a:off x="2857500" y="336550"/>
          <a:ext cx="1993900" cy="857250"/>
          <a:chOff x="2235200" y="342900"/>
          <a:chExt cx="1993900" cy="857250"/>
        </a:xfrm>
      </xdr:grpSpPr>
      <xdr:sp macro="" textlink="">
        <xdr:nvSpPr>
          <xdr:cNvPr id="3" name="Rectangle: Rounded Corners 2">
            <a:extLst>
              <a:ext uri="{FF2B5EF4-FFF2-40B4-BE49-F238E27FC236}">
                <a16:creationId xmlns:a16="http://schemas.microsoft.com/office/drawing/2014/main" id="{161E96C6-4FCE-8AAF-BCAE-C5232F8D31A7}"/>
              </a:ext>
            </a:extLst>
          </xdr:cNvPr>
          <xdr:cNvSpPr/>
        </xdr:nvSpPr>
        <xdr:spPr>
          <a:xfrm>
            <a:off x="2235200" y="342900"/>
            <a:ext cx="1993900" cy="857250"/>
          </a:xfrm>
          <a:prstGeom prst="roundRect">
            <a:avLst/>
          </a:prstGeom>
          <a:solidFill>
            <a:schemeClr val="bg1"/>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a:extLst>
              <a:ext uri="{FF2B5EF4-FFF2-40B4-BE49-F238E27FC236}">
                <a16:creationId xmlns:a16="http://schemas.microsoft.com/office/drawing/2014/main" id="{D2BBFC4E-E49D-FA54-102F-95644865486C}"/>
              </a:ext>
            </a:extLst>
          </xdr:cNvPr>
          <xdr:cNvGrpSpPr/>
        </xdr:nvGrpSpPr>
        <xdr:grpSpPr>
          <a:xfrm>
            <a:off x="2330450" y="419100"/>
            <a:ext cx="1752600" cy="609600"/>
            <a:chOff x="2330450" y="419100"/>
            <a:chExt cx="1752600" cy="609600"/>
          </a:xfrm>
        </xdr:grpSpPr>
        <xdr:sp macro="" textlink="">
          <xdr:nvSpPr>
            <xdr:cNvPr id="9" name="TextBox 8">
              <a:extLst>
                <a:ext uri="{FF2B5EF4-FFF2-40B4-BE49-F238E27FC236}">
                  <a16:creationId xmlns:a16="http://schemas.microsoft.com/office/drawing/2014/main" id="{2C717021-92CE-6D78-5416-A7221C175E5E}"/>
                </a:ext>
              </a:extLst>
            </xdr:cNvPr>
            <xdr:cNvSpPr txBox="1"/>
          </xdr:nvSpPr>
          <xdr:spPr>
            <a:xfrm>
              <a:off x="2330450" y="419100"/>
              <a:ext cx="175260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B050"/>
                  </a:solidFill>
                </a:rPr>
                <a:t>AVERAGE CURRENT PRICE</a:t>
              </a:r>
            </a:p>
            <a:p>
              <a:endParaRPr lang="en-US" sz="1100"/>
            </a:p>
          </xdr:txBody>
        </xdr:sp>
        <xdr:sp macro="" textlink="'Dashboard analysis'!B5">
          <xdr:nvSpPr>
            <xdr:cNvPr id="10" name="TextBox 9">
              <a:extLst>
                <a:ext uri="{FF2B5EF4-FFF2-40B4-BE49-F238E27FC236}">
                  <a16:creationId xmlns:a16="http://schemas.microsoft.com/office/drawing/2014/main" id="{9CCFA770-47E0-2B3C-63BC-AC751ABDFE5C}"/>
                </a:ext>
              </a:extLst>
            </xdr:cNvPr>
            <xdr:cNvSpPr txBox="1"/>
          </xdr:nvSpPr>
          <xdr:spPr>
            <a:xfrm>
              <a:off x="2571750" y="723900"/>
              <a:ext cx="12128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91D43F-D38E-4433-9AB6-DD2914F12240}" type="TxLink">
                <a:rPr lang="en-US" sz="1100" b="1" i="0" u="none" strike="noStrike">
                  <a:solidFill>
                    <a:srgbClr val="000000"/>
                  </a:solidFill>
                  <a:latin typeface="Calibri"/>
                  <a:ea typeface="Calibri"/>
                  <a:cs typeface="Calibri"/>
                </a:rPr>
                <a:pPr algn="ctr"/>
                <a:t>KES 1,186.89</a:t>
              </a:fld>
              <a:endParaRPr lang="en-US" sz="1100" b="1"/>
            </a:p>
          </xdr:txBody>
        </xdr:sp>
      </xdr:grpSp>
    </xdr:grpSp>
    <xdr:clientData/>
  </xdr:twoCellAnchor>
  <xdr:twoCellAnchor>
    <xdr:from>
      <xdr:col>9</xdr:col>
      <xdr:colOff>292100</xdr:colOff>
      <xdr:row>1</xdr:row>
      <xdr:rowOff>171450</xdr:rowOff>
    </xdr:from>
    <xdr:to>
      <xdr:col>12</xdr:col>
      <xdr:colOff>565150</xdr:colOff>
      <xdr:row>6</xdr:row>
      <xdr:rowOff>152400</xdr:rowOff>
    </xdr:to>
    <xdr:grpSp>
      <xdr:nvGrpSpPr>
        <xdr:cNvPr id="17" name="Group 16">
          <a:extLst>
            <a:ext uri="{FF2B5EF4-FFF2-40B4-BE49-F238E27FC236}">
              <a16:creationId xmlns:a16="http://schemas.microsoft.com/office/drawing/2014/main" id="{39B40842-9D2E-A506-3F73-70C40FB58F12}"/>
            </a:ext>
          </a:extLst>
        </xdr:cNvPr>
        <xdr:cNvGrpSpPr/>
      </xdr:nvGrpSpPr>
      <xdr:grpSpPr>
        <a:xfrm>
          <a:off x="5778500" y="355600"/>
          <a:ext cx="2101850" cy="901700"/>
          <a:chOff x="4832350" y="260350"/>
          <a:chExt cx="2133600" cy="812800"/>
        </a:xfrm>
      </xdr:grpSpPr>
      <xdr:sp macro="" textlink="">
        <xdr:nvSpPr>
          <xdr:cNvPr id="4" name="Rectangle: Rounded Corners 3">
            <a:extLst>
              <a:ext uri="{FF2B5EF4-FFF2-40B4-BE49-F238E27FC236}">
                <a16:creationId xmlns:a16="http://schemas.microsoft.com/office/drawing/2014/main" id="{6A252BC3-E9F6-0949-11CA-AC96227BB160}"/>
              </a:ext>
            </a:extLst>
          </xdr:cNvPr>
          <xdr:cNvSpPr/>
        </xdr:nvSpPr>
        <xdr:spPr>
          <a:xfrm>
            <a:off x="4832350" y="260350"/>
            <a:ext cx="2133600" cy="812800"/>
          </a:xfrm>
          <a:prstGeom prst="roundRect">
            <a:avLst/>
          </a:prstGeom>
          <a:solidFill>
            <a:sysClr val="window" lastClr="FFFFFF"/>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6" name="Group 15">
            <a:extLst>
              <a:ext uri="{FF2B5EF4-FFF2-40B4-BE49-F238E27FC236}">
                <a16:creationId xmlns:a16="http://schemas.microsoft.com/office/drawing/2014/main" id="{D74CF7C9-66B2-1ED1-4CE9-057877AA7447}"/>
              </a:ext>
            </a:extLst>
          </xdr:cNvPr>
          <xdr:cNvGrpSpPr/>
        </xdr:nvGrpSpPr>
        <xdr:grpSpPr>
          <a:xfrm>
            <a:off x="4965700" y="393700"/>
            <a:ext cx="1828800" cy="546100"/>
            <a:chOff x="5067300" y="387350"/>
            <a:chExt cx="1828800" cy="546100"/>
          </a:xfrm>
        </xdr:grpSpPr>
        <xdr:sp macro="" textlink="">
          <xdr:nvSpPr>
            <xdr:cNvPr id="11" name="TextBox 10">
              <a:extLst>
                <a:ext uri="{FF2B5EF4-FFF2-40B4-BE49-F238E27FC236}">
                  <a16:creationId xmlns:a16="http://schemas.microsoft.com/office/drawing/2014/main" id="{A9B75734-0419-B83F-4EC5-49A6D87BE694}"/>
                </a:ext>
              </a:extLst>
            </xdr:cNvPr>
            <xdr:cNvSpPr txBox="1"/>
          </xdr:nvSpPr>
          <xdr:spPr>
            <a:xfrm>
              <a:off x="5067300" y="387350"/>
              <a:ext cx="18288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60000"/>
                      <a:lumOff val="40000"/>
                    </a:schemeClr>
                  </a:solidFill>
                </a:rPr>
                <a:t>AVERAGE DISCOUNT RATE</a:t>
              </a:r>
            </a:p>
            <a:p>
              <a:endParaRPr lang="en-US" sz="1100"/>
            </a:p>
          </xdr:txBody>
        </xdr:sp>
        <xdr:sp macro="" textlink="'Dashboard analysis'!B7">
          <xdr:nvSpPr>
            <xdr:cNvPr id="12" name="TextBox 11">
              <a:extLst>
                <a:ext uri="{FF2B5EF4-FFF2-40B4-BE49-F238E27FC236}">
                  <a16:creationId xmlns:a16="http://schemas.microsoft.com/office/drawing/2014/main" id="{71E5C395-B8C5-D05A-FE12-87F592E0A5CF}"/>
                </a:ext>
              </a:extLst>
            </xdr:cNvPr>
            <xdr:cNvSpPr txBox="1"/>
          </xdr:nvSpPr>
          <xdr:spPr>
            <a:xfrm>
              <a:off x="5207000" y="730250"/>
              <a:ext cx="1276350"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55C00D-F80A-4C4D-A8E5-DA719368BCB1}" type="TxLink">
                <a:rPr lang="en-US" sz="1100" b="1" i="0" u="none" strike="noStrike">
                  <a:solidFill>
                    <a:srgbClr val="000000"/>
                  </a:solidFill>
                  <a:latin typeface="Calibri"/>
                  <a:ea typeface="Calibri"/>
                  <a:cs typeface="Calibri"/>
                </a:rPr>
                <a:pPr algn="ctr"/>
                <a:t>36.78%</a:t>
              </a:fld>
              <a:endParaRPr lang="en-US" sz="1100" b="1"/>
            </a:p>
          </xdr:txBody>
        </xdr:sp>
      </xdr:grpSp>
    </xdr:grpSp>
    <xdr:clientData/>
  </xdr:twoCellAnchor>
  <xdr:twoCellAnchor>
    <xdr:from>
      <xdr:col>14</xdr:col>
      <xdr:colOff>127000</xdr:colOff>
      <xdr:row>1</xdr:row>
      <xdr:rowOff>101600</xdr:rowOff>
    </xdr:from>
    <xdr:to>
      <xdr:col>18</xdr:col>
      <xdr:colOff>25400</xdr:colOff>
      <xdr:row>6</xdr:row>
      <xdr:rowOff>31750</xdr:rowOff>
    </xdr:to>
    <xdr:grpSp>
      <xdr:nvGrpSpPr>
        <xdr:cNvPr id="20" name="Group 19">
          <a:extLst>
            <a:ext uri="{FF2B5EF4-FFF2-40B4-BE49-F238E27FC236}">
              <a16:creationId xmlns:a16="http://schemas.microsoft.com/office/drawing/2014/main" id="{730C2E76-9F81-EDBA-AB4A-E5A722AAF757}"/>
            </a:ext>
          </a:extLst>
        </xdr:cNvPr>
        <xdr:cNvGrpSpPr/>
      </xdr:nvGrpSpPr>
      <xdr:grpSpPr>
        <a:xfrm>
          <a:off x="8661400" y="285750"/>
          <a:ext cx="2336800" cy="850900"/>
          <a:chOff x="7454900" y="279400"/>
          <a:chExt cx="2336800" cy="850900"/>
        </a:xfrm>
      </xdr:grpSpPr>
      <xdr:sp macro="" textlink="">
        <xdr:nvSpPr>
          <xdr:cNvPr id="5" name="Rectangle: Rounded Corners 4">
            <a:extLst>
              <a:ext uri="{FF2B5EF4-FFF2-40B4-BE49-F238E27FC236}">
                <a16:creationId xmlns:a16="http://schemas.microsoft.com/office/drawing/2014/main" id="{F8F89A14-A6A0-5688-0F0F-1B3E080BD611}"/>
              </a:ext>
            </a:extLst>
          </xdr:cNvPr>
          <xdr:cNvSpPr/>
        </xdr:nvSpPr>
        <xdr:spPr>
          <a:xfrm>
            <a:off x="7454900" y="279400"/>
            <a:ext cx="2336800" cy="8509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27CFAE04-1C48-D96E-240F-794DFADDC613}"/>
              </a:ext>
            </a:extLst>
          </xdr:cNvPr>
          <xdr:cNvSpPr txBox="1"/>
        </xdr:nvSpPr>
        <xdr:spPr>
          <a:xfrm>
            <a:off x="7543800" y="412750"/>
            <a:ext cx="20701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rPr>
              <a:t>TOTAL REVIEW ENGAGEMENT</a:t>
            </a:r>
          </a:p>
          <a:p>
            <a:endParaRPr lang="en-US" sz="1100"/>
          </a:p>
        </xdr:txBody>
      </xdr:sp>
      <xdr:sp macro="" textlink="'Dashboard analysis'!B4">
        <xdr:nvSpPr>
          <xdr:cNvPr id="19" name="TextBox 18">
            <a:extLst>
              <a:ext uri="{FF2B5EF4-FFF2-40B4-BE49-F238E27FC236}">
                <a16:creationId xmlns:a16="http://schemas.microsoft.com/office/drawing/2014/main" id="{3E7DF230-26AE-FA8A-6F34-DC5D149555BA}"/>
              </a:ext>
            </a:extLst>
          </xdr:cNvPr>
          <xdr:cNvSpPr txBox="1"/>
        </xdr:nvSpPr>
        <xdr:spPr>
          <a:xfrm>
            <a:off x="7639050" y="685800"/>
            <a:ext cx="15494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723</a:t>
            </a:r>
            <a:endParaRPr lang="en-US" sz="1100"/>
          </a:p>
        </xdr:txBody>
      </xdr:sp>
    </xdr:grpSp>
    <xdr:clientData/>
  </xdr:twoCellAnchor>
  <xdr:twoCellAnchor>
    <xdr:from>
      <xdr:col>0</xdr:col>
      <xdr:colOff>31750</xdr:colOff>
      <xdr:row>8</xdr:row>
      <xdr:rowOff>38100</xdr:rowOff>
    </xdr:from>
    <xdr:to>
      <xdr:col>5</xdr:col>
      <xdr:colOff>381000</xdr:colOff>
      <xdr:row>20</xdr:row>
      <xdr:rowOff>101600</xdr:rowOff>
    </xdr:to>
    <xdr:graphicFrame macro="">
      <xdr:nvGraphicFramePr>
        <xdr:cNvPr id="21" name="Product Distribution by Price Tier">
          <a:extLst>
            <a:ext uri="{FF2B5EF4-FFF2-40B4-BE49-F238E27FC236}">
              <a16:creationId xmlns:a16="http://schemas.microsoft.com/office/drawing/2014/main" id="{2163F83E-933C-4EBA-94EA-C9B76F3F7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514350</xdr:colOff>
      <xdr:row>10</xdr:row>
      <xdr:rowOff>12700</xdr:rowOff>
    </xdr:from>
    <xdr:to>
      <xdr:col>10</xdr:col>
      <xdr:colOff>533400</xdr:colOff>
      <xdr:row>20</xdr:row>
      <xdr:rowOff>158750</xdr:rowOff>
    </xdr:to>
    <xdr:graphicFrame macro="">
      <xdr:nvGraphicFramePr>
        <xdr:cNvPr id="22" name="Listings by Discount Depth">
          <a:extLst>
            <a:ext uri="{FF2B5EF4-FFF2-40B4-BE49-F238E27FC236}">
              <a16:creationId xmlns:a16="http://schemas.microsoft.com/office/drawing/2014/main" id="{FB80A6F1-9B8E-4920-BDD2-FA7304418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69850</xdr:colOff>
      <xdr:row>8</xdr:row>
      <xdr:rowOff>88900</xdr:rowOff>
    </xdr:from>
    <xdr:to>
      <xdr:col>18</xdr:col>
      <xdr:colOff>349250</xdr:colOff>
      <xdr:row>21</xdr:row>
      <xdr:rowOff>114300</xdr:rowOff>
    </xdr:to>
    <xdr:graphicFrame macro="">
      <xdr:nvGraphicFramePr>
        <xdr:cNvPr id="23" name="Catalog Quality &amp; Customer Satisfaction Tiers">
          <a:extLst>
            <a:ext uri="{FF2B5EF4-FFF2-40B4-BE49-F238E27FC236}">
              <a16:creationId xmlns:a16="http://schemas.microsoft.com/office/drawing/2014/main" id="{319659B5-0E1D-431A-8489-AD92368DC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222250</xdr:colOff>
      <xdr:row>21</xdr:row>
      <xdr:rowOff>107950</xdr:rowOff>
    </xdr:from>
    <xdr:to>
      <xdr:col>7</xdr:col>
      <xdr:colOff>222250</xdr:colOff>
      <xdr:row>35</xdr:row>
      <xdr:rowOff>53975</xdr:rowOff>
    </xdr:to>
    <mc:AlternateContent xmlns:mc="http://schemas.openxmlformats.org/markup-compatibility/2006">
      <mc:Choice xmlns:a14="http://schemas.microsoft.com/office/drawing/2010/main" Requires="a14">
        <xdr:graphicFrame macro="">
          <xdr:nvGraphicFramePr>
            <xdr:cNvPr id="24" name="Price_Category">
              <a:extLst>
                <a:ext uri="{FF2B5EF4-FFF2-40B4-BE49-F238E27FC236}">
                  <a16:creationId xmlns:a16="http://schemas.microsoft.com/office/drawing/2014/main" id="{FAE7B36F-689A-22A2-0BEF-47E5003C8E19}"/>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2660650" y="397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21</xdr:row>
      <xdr:rowOff>95250</xdr:rowOff>
    </xdr:from>
    <xdr:to>
      <xdr:col>3</xdr:col>
      <xdr:colOff>107950</xdr:colOff>
      <xdr:row>35</xdr:row>
      <xdr:rowOff>41275</xdr:rowOff>
    </xdr:to>
    <mc:AlternateContent xmlns:mc="http://schemas.openxmlformats.org/markup-compatibility/2006">
      <mc:Choice xmlns:a14="http://schemas.microsoft.com/office/drawing/2010/main" Requires="a14">
        <xdr:graphicFrame macro="">
          <xdr:nvGraphicFramePr>
            <xdr:cNvPr id="25" name="Discount_Category">
              <a:extLst>
                <a:ext uri="{FF2B5EF4-FFF2-40B4-BE49-F238E27FC236}">
                  <a16:creationId xmlns:a16="http://schemas.microsoft.com/office/drawing/2014/main" id="{CFE18813-9CF5-2677-C46D-AA768FF19C3F}"/>
                </a:ext>
              </a:extLst>
            </xdr:cNvPr>
            <xdr:cNvGraphicFramePr/>
          </xdr:nvGraphicFramePr>
          <xdr:xfrm>
            <a:off x="0" y="0"/>
            <a:ext cx="0" cy="0"/>
          </xdr:xfrm>
          <a:graphic>
            <a:graphicData uri="http://schemas.microsoft.com/office/drawing/2010/slicer">
              <sle:slicer xmlns:sle="http://schemas.microsoft.com/office/drawing/2010/slicer" name="Discount_Category"/>
            </a:graphicData>
          </a:graphic>
        </xdr:graphicFrame>
      </mc:Choice>
      <mc:Fallback>
        <xdr:sp macro="" textlink="">
          <xdr:nvSpPr>
            <xdr:cNvPr id="0" name=""/>
            <xdr:cNvSpPr>
              <a:spLocks noTextEdit="1"/>
            </xdr:cNvSpPr>
          </xdr:nvSpPr>
          <xdr:spPr>
            <a:xfrm>
              <a:off x="107950" y="396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ed%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eaned 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9.89563564815" createdVersion="8" refreshedVersion="8" minRefreshableVersion="3" recordCount="112" xr:uid="{BF76FE78-0B7B-4C51-9333-57F447429B4C}">
  <cacheSource type="worksheet">
    <worksheetSource ref="A1:J113" sheet="jumia_clean_dataset"/>
  </cacheSource>
  <cacheFields count="10">
    <cacheField name="Product" numFmtId="0">
      <sharedItems/>
    </cacheField>
    <cacheField name="Current_price" numFmtId="2">
      <sharedItems containsSemiMixedTypes="0" containsString="0" containsNumber="1" containsInteger="1" minValue="38" maxValue="3750"/>
    </cacheField>
    <cacheField name="Old_price" numFmtId="2">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0">
      <sharedItems containsSemiMixedTypes="0" containsString="0" containsNumber="1" containsInteger="1" minValue="0" maxValue="69"/>
    </cacheField>
    <cacheField name="Rating" numFmtId="0">
      <sharedItems containsMixedTypes="1" containsNumber="1" minValue="2" maxValue="5"/>
    </cacheField>
    <cacheField name="Discount2" numFmtId="2">
      <sharedItems containsSemiMixedTypes="0" containsString="0" containsNumber="1" containsInteger="1" minValue="24" maxValue="2585"/>
    </cacheField>
    <cacheField name="Price_Category" numFmtId="0">
      <sharedItems count="3">
        <s v="Mid-Range"/>
        <s v="Premium"/>
        <s v="Budget"/>
      </sharedItems>
    </cacheField>
    <cacheField name="Discount_Category" numFmtId="0">
      <sharedItems count="3">
        <s v="Medium"/>
        <s v="High"/>
        <s v="Low "/>
      </sharedItems>
    </cacheField>
    <cacheField name="Rating Category" numFmtId="0">
      <sharedItems count="5">
        <s v="Good"/>
        <s v="Excellent"/>
        <s v="Average"/>
        <s v="Not Rated"/>
        <s v="Poor"/>
      </sharedItems>
    </cacheField>
  </cacheFields>
  <extLst>
    <ext xmlns:x14="http://schemas.microsoft.com/office/spreadsheetml/2009/9/main" uri="{725AE2AE-9491-48be-B2B4-4EB974FC3084}">
      <x14:pivotCacheDefinition pivotCacheId="889689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115  Piece Set Of Multifunctional Precision Screwdrivers"/>
    <n v="950"/>
    <n v="1525"/>
    <n v="0.38"/>
    <n v="2"/>
    <n v="4.5"/>
    <n v="575"/>
    <x v="0"/>
    <x v="0"/>
    <x v="0"/>
  </r>
  <r>
    <s v="Metal Decorative Hooks Key Hangers Entryway Wall Hooks Towel Hooks - Home"/>
    <n v="527"/>
    <n v="999"/>
    <n v="0.47"/>
    <n v="14"/>
    <n v="4.0999999999999996"/>
    <n v="472"/>
    <x v="0"/>
    <x v="1"/>
    <x v="0"/>
  </r>
  <r>
    <s v="Portable Mini Cordless Car Vacuum Cleaner - Blue"/>
    <n v="2199"/>
    <n v="2923"/>
    <n v="0.25"/>
    <n v="24"/>
    <n v="4.5999999999999996"/>
    <n v="724"/>
    <x v="1"/>
    <x v="0"/>
    <x v="1"/>
  </r>
  <r>
    <s v="Weighing Scale Digital Bathroom Body Fat Scale USB-Black"/>
    <n v="1580"/>
    <n v="2499"/>
    <n v="0.37"/>
    <n v="7"/>
    <n v="4.7"/>
    <n v="919"/>
    <x v="1"/>
    <x v="0"/>
    <x v="1"/>
  </r>
  <r>
    <s v="Portable Home Small Air Humidifier 3-Speed Fan - Green"/>
    <n v="1740"/>
    <n v="2356"/>
    <n v="0.26"/>
    <n v="5"/>
    <n v="4.8"/>
    <n v="616"/>
    <x v="1"/>
    <x v="0"/>
    <x v="1"/>
  </r>
  <r>
    <s v="220V 60W Electric Soldering Iron Kits With Tools, Tips, And Multimeter"/>
    <n v="2999"/>
    <n v="3290"/>
    <n v="0.09"/>
    <n v="15"/>
    <n v="4"/>
    <n v="291"/>
    <x v="1"/>
    <x v="2"/>
    <x v="2"/>
  </r>
  <r>
    <s v="137 Pieces Cake Decorating Tool Set Baking Supplies"/>
    <n v="2319"/>
    <n v="3032"/>
    <n v="0.24"/>
    <n v="55"/>
    <n v="4.5999999999999996"/>
    <n v="713"/>
    <x v="1"/>
    <x v="0"/>
    <x v="1"/>
  </r>
  <r>
    <s v="Desk Foldable Fan Adjustable Fan Strong Wind 3 Gear Usb"/>
    <n v="988"/>
    <n v="1580"/>
    <n v="0.37"/>
    <n v="2"/>
    <n v="4"/>
    <n v="592"/>
    <x v="0"/>
    <x v="0"/>
    <x v="2"/>
  </r>
  <r>
    <s v="LASA FOLDING TABLE SERVING STAND"/>
    <n v="1274"/>
    <n v="2800"/>
    <n v="0.55000000000000004"/>
    <n v="5"/>
    <n v="4.8"/>
    <n v="1526"/>
    <x v="0"/>
    <x v="1"/>
    <x v="1"/>
  </r>
  <r>
    <s v="13 In 1 Home Repair Tools Box Kit Set"/>
    <n v="1600"/>
    <n v="2929"/>
    <n v="0.45"/>
    <n v="5"/>
    <n v="3.8"/>
    <n v="1329"/>
    <x v="1"/>
    <x v="1"/>
    <x v="2"/>
  </r>
  <r>
    <s v="Genebre 115 In 1 Screwdriver Repairing Tool Set For IPhone Cellphone Hand Tool"/>
    <n v="799"/>
    <n v="999"/>
    <n v="0.2"/>
    <n v="12"/>
    <n v="4.0999999999999996"/>
    <n v="200"/>
    <x v="0"/>
    <x v="0"/>
    <x v="0"/>
  </r>
  <r>
    <s v="100 Pcs Crochet Hook Tool Set Knitting Hook Set With Box"/>
    <n v="990"/>
    <n v="1500"/>
    <n v="0.34"/>
    <n v="39"/>
    <n v="4.7"/>
    <n v="510"/>
    <x v="0"/>
    <x v="0"/>
    <x v="1"/>
  </r>
  <r>
    <s v="40cm Gold DIY Acrylic Wall Sticker Clock"/>
    <n v="552"/>
    <n v="1035"/>
    <n v="0.47"/>
    <n v="12"/>
    <n v="4.8"/>
    <n v="483"/>
    <x v="0"/>
    <x v="1"/>
    <x v="1"/>
  </r>
  <r>
    <s v="LASA Digital Thermometer And Hydrometer"/>
    <n v="501"/>
    <n v="860"/>
    <n v="0.42"/>
    <n v="6"/>
    <n v="4.5"/>
    <n v="359"/>
    <x v="0"/>
    <x v="1"/>
    <x v="0"/>
  </r>
  <r>
    <s v="Multifunction Laser Level With Adjustment Tripod"/>
    <n v="1680"/>
    <n v="2499"/>
    <n v="0.33"/>
    <n v="9"/>
    <n v="4.2"/>
    <n v="819"/>
    <x v="1"/>
    <x v="0"/>
    <x v="0"/>
  </r>
  <r>
    <s v="Anti-Skid Absorbent Insulation Coaster  For Home Office"/>
    <n v="332"/>
    <n v="684"/>
    <n v="0.51"/>
    <n v="2"/>
    <n v="5"/>
    <n v="352"/>
    <x v="2"/>
    <x v="1"/>
    <x v="1"/>
  </r>
  <r>
    <s v="Peacock  Throw Pillow Cushion Case For Home Car"/>
    <n v="195"/>
    <n v="360"/>
    <n v="0.46"/>
    <n v="2"/>
    <n v="5"/>
    <n v="165"/>
    <x v="2"/>
    <x v="1"/>
    <x v="1"/>
  </r>
  <r>
    <s v="LASA Aluminum Folding Truck Hand Cart - 68kg Max"/>
    <n v="2025"/>
    <n v="3971"/>
    <n v="0.49"/>
    <n v="3"/>
    <n v="5"/>
    <n v="1946"/>
    <x v="1"/>
    <x v="1"/>
    <x v="1"/>
  </r>
  <r>
    <s v="LED Wall Digital Alarm Clock Study Home 12 / 24H Clock Calendar"/>
    <n v="2999"/>
    <n v="3699"/>
    <n v="0.19"/>
    <n v="5"/>
    <n v="4.5999999999999996"/>
    <n v="700"/>
    <x v="1"/>
    <x v="2"/>
    <x v="1"/>
  </r>
  <r>
    <s v="3D Waterproof EVA Plastic Shower Curtain 1.8*2Mtrs"/>
    <n v="998"/>
    <n v="1966"/>
    <n v="0.49"/>
    <n v="44"/>
    <n v="4.5999999999999996"/>
    <n v="968"/>
    <x v="0"/>
    <x v="1"/>
    <x v="1"/>
  </r>
  <r>
    <s v="3PCS Single Head Knitting Crochet Sweater Needle Set"/>
    <n v="38"/>
    <n v="80"/>
    <n v="0.53"/>
    <n v="13"/>
    <n v="3.3"/>
    <n v="42"/>
    <x v="2"/>
    <x v="1"/>
    <x v="2"/>
  </r>
  <r>
    <s v="4pcs Bathroom/Kitchen Towel Rack,Roll Paper Holder,Towel Bars,Hook"/>
    <n v="1860"/>
    <n v="3220"/>
    <n v="0.42"/>
    <n v="0"/>
    <s v="Not Rated"/>
    <n v="1360"/>
    <x v="1"/>
    <x v="1"/>
    <x v="3"/>
  </r>
  <r>
    <s v="LED Romantic Spaceship Starry Sky Projector,Children's Bedroom Night Light-Blue"/>
    <n v="880"/>
    <n v="1350"/>
    <n v="0.35"/>
    <n v="6"/>
    <n v="4"/>
    <n v="470"/>
    <x v="0"/>
    <x v="0"/>
    <x v="2"/>
  </r>
  <r>
    <s v="Foldable Overbed Table/Desk"/>
    <n v="1650"/>
    <n v="2150"/>
    <n v="0.23"/>
    <n v="14"/>
    <n v="4.4000000000000004"/>
    <n v="500"/>
    <x v="1"/>
    <x v="0"/>
    <x v="0"/>
  </r>
  <r>
    <s v="LASA 3 Tier Bamboo Shoe Bench Storage Shelf"/>
    <n v="2048"/>
    <n v="4500"/>
    <n v="0.54"/>
    <n v="7"/>
    <n v="4.3"/>
    <n v="2452"/>
    <x v="1"/>
    <x v="1"/>
    <x v="0"/>
  </r>
  <r>
    <s v="Electronic Digital Display Vernier Caliper"/>
    <n v="420"/>
    <n v="647"/>
    <n v="0.35"/>
    <n v="49"/>
    <n v="4.5999999999999996"/>
    <n v="227"/>
    <x v="2"/>
    <x v="0"/>
    <x v="1"/>
  </r>
  <r>
    <s v="Portable Wardrobe Nonwoven With 3 Hanging Rods And 6 Storage Shelves"/>
    <n v="2880"/>
    <n v="3520"/>
    <n v="0.18"/>
    <n v="12"/>
    <n v="3.8"/>
    <n v="640"/>
    <x v="1"/>
    <x v="2"/>
    <x v="2"/>
  </r>
  <r>
    <s v="12 Litre Black Insulated Lunch Box"/>
    <n v="1350"/>
    <n v="1990"/>
    <n v="0.32"/>
    <n v="13"/>
    <n v="3.8"/>
    <n v="640"/>
    <x v="0"/>
    <x v="0"/>
    <x v="2"/>
  </r>
  <r>
    <s v="52 Pieces Cake Decorating Tool Set Gift Kit Baking Supplies"/>
    <n v="1758"/>
    <n v="2499"/>
    <n v="0.3"/>
    <n v="20"/>
    <n v="4.0999999999999996"/>
    <n v="741"/>
    <x v="1"/>
    <x v="0"/>
    <x v="0"/>
  </r>
  <r>
    <s v="MultiFunctional Storage Rack Multi-layer Bookshelf"/>
    <n v="2200"/>
    <n v="4080"/>
    <n v="0.46"/>
    <n v="0"/>
    <s v="Not Rated"/>
    <n v="1880"/>
    <x v="1"/>
    <x v="1"/>
    <x v="3"/>
  </r>
  <r>
    <s v="Exfoliate And Exfoliate Face Towel - Black"/>
    <n v="185"/>
    <n v="382"/>
    <n v="0.52"/>
    <n v="9"/>
    <n v="4.3"/>
    <n v="197"/>
    <x v="2"/>
    <x v="1"/>
    <x v="0"/>
  </r>
  <r>
    <s v="12 Litre Insulated Lunch Box Grey"/>
    <n v="980"/>
    <n v="1490"/>
    <n v="0.34"/>
    <n v="12"/>
    <n v="4.7"/>
    <n v="510"/>
    <x v="0"/>
    <x v="0"/>
    <x v="1"/>
  </r>
  <r>
    <s v="LED Eye Protection  Desk Lamp , Study, Reading, USB Fan - Double Pen Holder"/>
    <n v="1820"/>
    <n v="3490"/>
    <n v="0.48"/>
    <n v="9"/>
    <n v="4.3"/>
    <n v="1670"/>
    <x v="1"/>
    <x v="1"/>
    <x v="0"/>
  </r>
  <r>
    <s v="53Pcs/Set Yarn Knitting Crochet Hooks With Bag - Fortune Cat"/>
    <n v="1940"/>
    <n v="2650"/>
    <n v="0.27"/>
    <n v="20"/>
    <n v="4.7"/>
    <n v="710"/>
    <x v="1"/>
    <x v="0"/>
    <x v="1"/>
  </r>
  <r>
    <s v="53 Pieces/Set Yarn Knitting Crochet Hooks With Bag - Pansies"/>
    <n v="1980"/>
    <n v="2699"/>
    <n v="0.27"/>
    <n v="32"/>
    <n v="4.5"/>
    <n v="719"/>
    <x v="1"/>
    <x v="0"/>
    <x v="0"/>
  </r>
  <r>
    <s v="DIY File Folder, Office Drawer File Holder, Pen Holder, Desktop Storage Rack"/>
    <n v="1620"/>
    <n v="2690"/>
    <n v="0.4"/>
    <n v="1"/>
    <n v="5"/>
    <n v="1070"/>
    <x v="1"/>
    <x v="0"/>
    <x v="1"/>
  </r>
  <r>
    <s v="Classic Black Cat Cotton Hemp Pillow Case For Home Car"/>
    <n v="171"/>
    <n v="360"/>
    <n v="0.53"/>
    <n v="2"/>
    <n v="5"/>
    <n v="189"/>
    <x v="2"/>
    <x v="1"/>
    <x v="1"/>
  </r>
  <r>
    <s v="Punch-free Great Load Bearing Bathroom Storage Rack Wall Shelf-White"/>
    <n v="389"/>
    <n v="656"/>
    <n v="0.41"/>
    <n v="36"/>
    <n v="4.3"/>
    <n v="267"/>
    <x v="2"/>
    <x v="1"/>
    <x v="0"/>
  </r>
  <r>
    <s v="1/2/3 Seater Elastic Sofa Cover,Living Room/Home Decor Chair Cover-Grey"/>
    <n v="1800"/>
    <n v="2700"/>
    <n v="0.38"/>
    <n v="2"/>
    <n v="4.5"/>
    <n v="900"/>
    <x v="1"/>
    <x v="0"/>
    <x v="0"/>
  </r>
  <r>
    <s v="LASA Stainless Steel Double Wall Mount Soap Dispenser - 500ml"/>
    <n v="2750"/>
    <n v="4471"/>
    <n v="0.38"/>
    <n v="0"/>
    <s v="Not Rated"/>
    <n v="1721"/>
    <x v="1"/>
    <x v="0"/>
    <x v="3"/>
  </r>
  <r>
    <s v="4M Float Switch Water Level Controller -Water Tank"/>
    <n v="475"/>
    <n v="931"/>
    <n v="0.49"/>
    <n v="0"/>
    <s v="Not Rated"/>
    <n v="456"/>
    <x v="2"/>
    <x v="1"/>
    <x v="3"/>
  </r>
  <r>
    <s v="Modern Sofa Throw Pillow Cover-45x45cm-Blue&amp;Red"/>
    <n v="238"/>
    <n v="476"/>
    <n v="0.5"/>
    <n v="0"/>
    <s v="Not Rated"/>
    <n v="238"/>
    <x v="2"/>
    <x v="1"/>
    <x v="3"/>
  </r>
  <r>
    <s v="Balloon Insert, Birthday Party Balloon Set, PU Leather"/>
    <n v="610"/>
    <n v="1060"/>
    <n v="0.42"/>
    <n v="0"/>
    <s v="Not Rated"/>
    <n v="450"/>
    <x v="0"/>
    <x v="1"/>
    <x v="3"/>
  </r>
  <r>
    <s v="Shower Cap Wide Elastic Band Cover Reusable Bashroom Cap"/>
    <n v="2132"/>
    <n v="2169"/>
    <n v="0.02"/>
    <n v="0"/>
    <s v="Not Rated"/>
    <n v="37"/>
    <x v="1"/>
    <x v="2"/>
    <x v="3"/>
  </r>
  <r>
    <s v="Christmas Elk Fence Yard Lawn Decorations Cute For Holidays"/>
    <n v="999"/>
    <n v="2000"/>
    <n v="0.5"/>
    <n v="0"/>
    <s v="Not Rated"/>
    <n v="1001"/>
    <x v="0"/>
    <x v="1"/>
    <x v="3"/>
  </r>
  <r>
    <s v="60W Hot Melt Glue Sprayer - Efficient And Stable Glue Dispensing"/>
    <n v="1190"/>
    <n v="1785"/>
    <n v="0.33"/>
    <n v="0"/>
    <s v="Not Rated"/>
    <n v="595"/>
    <x v="0"/>
    <x v="0"/>
    <x v="3"/>
  </r>
  <r>
    <s v="Car Phone Charging Stand"/>
    <n v="671"/>
    <n v="1316"/>
    <n v="0.49"/>
    <n v="0"/>
    <s v="Not Rated"/>
    <n v="645"/>
    <x v="0"/>
    <x v="1"/>
    <x v="3"/>
  </r>
  <r>
    <s v="2pcs Solar Street Light Flood Light Outdoor"/>
    <n v="1200"/>
    <n v="1950"/>
    <n v="0.38"/>
    <n v="0"/>
    <s v="Not Rated"/>
    <n v="750"/>
    <x v="0"/>
    <x v="0"/>
    <x v="3"/>
  </r>
  <r>
    <s v="Creative Owl Shape Keychain Black"/>
    <n v="199"/>
    <n v="504"/>
    <n v="0.61"/>
    <n v="0"/>
    <s v="Not Rated"/>
    <n v="305"/>
    <x v="2"/>
    <x v="1"/>
    <x v="3"/>
  </r>
  <r>
    <s v="Brush &amp; Paintbrush Cleaning Tool Pink"/>
    <n v="299"/>
    <n v="600"/>
    <n v="0.5"/>
    <n v="0"/>
    <s v="Not Rated"/>
    <n v="301"/>
    <x v="2"/>
    <x v="1"/>
    <x v="3"/>
  </r>
  <r>
    <s v="Pen Grips For Kids Pen Grip Posture Correction Tool For Kids"/>
    <n v="1660"/>
    <n v="1699"/>
    <n v="0.02"/>
    <n v="0"/>
    <s v="Not Rated"/>
    <n v="39"/>
    <x v="1"/>
    <x v="2"/>
    <x v="3"/>
  </r>
  <r>
    <s v="Pilates Cloth Bag Waterproof Durable High Capacity Purple"/>
    <n v="299"/>
    <n v="384"/>
    <n v="0.22"/>
    <n v="0"/>
    <s v="Not Rated"/>
    <n v="85"/>
    <x v="2"/>
    <x v="0"/>
    <x v="3"/>
  </r>
  <r>
    <s v="Multi-purpose Rice Drainage Basket And Fruit And Vegetable Drainage Sieve"/>
    <n v="1459"/>
    <n v="1499"/>
    <n v="0.03"/>
    <n v="0"/>
    <s v="Not Rated"/>
    <n v="40"/>
    <x v="0"/>
    <x v="2"/>
    <x v="3"/>
  </r>
  <r>
    <s v="Cute Christmas Fence Garden Decorations For Holiday Home"/>
    <n v="799"/>
    <n v="1343"/>
    <n v="0.41"/>
    <n v="0"/>
    <s v="Not Rated"/>
    <n v="544"/>
    <x v="0"/>
    <x v="1"/>
    <x v="3"/>
  </r>
  <r>
    <s v="Simple Metal Dog Art Sculpture Decoration For Home Office"/>
    <n v="499"/>
    <n v="900"/>
    <n v="0.45"/>
    <n v="0"/>
    <s v="Not Rated"/>
    <n v="401"/>
    <x v="2"/>
    <x v="1"/>
    <x v="3"/>
  </r>
  <r>
    <s v="Christmas Fence Garden Decorations Outdoor For Holiday Home"/>
    <n v="699"/>
    <n v="1343"/>
    <n v="0.48"/>
    <n v="0"/>
    <s v="Not Rated"/>
    <n v="644"/>
    <x v="0"/>
    <x v="1"/>
    <x v="3"/>
  </r>
  <r>
    <s v="Angle Measuring Tool Full Metal Multi Angle Measuring Tool"/>
    <n v="799"/>
    <n v="1567"/>
    <n v="0.49"/>
    <n v="0"/>
    <s v="Not Rated"/>
    <n v="768"/>
    <x v="0"/>
    <x v="1"/>
    <x v="3"/>
  </r>
  <r>
    <s v="12V 19500rpm Handheld Electric Angle Grinder Tool - UK - Yellow/Black"/>
    <n v="2799"/>
    <n v="3810"/>
    <n v="0.27"/>
    <n v="0"/>
    <s v="Not Rated"/>
    <n v="1011"/>
    <x v="1"/>
    <x v="0"/>
    <x v="3"/>
  </r>
  <r>
    <s v="Simple Metal Dog Art Sculpture Decoration For Home Office"/>
    <n v="399"/>
    <n v="896"/>
    <n v="0.55000000000000004"/>
    <n v="0"/>
    <s v="Not Rated"/>
    <n v="497"/>
    <x v="2"/>
    <x v="1"/>
    <x v="3"/>
  </r>
  <r>
    <s v="5 Pieces/set Of Stainless Steel Induction Cooker Pots"/>
    <n v="2170"/>
    <n v="2500"/>
    <n v="0.13"/>
    <n v="6"/>
    <n v="2.5"/>
    <n v="330"/>
    <x v="1"/>
    <x v="2"/>
    <x v="4"/>
  </r>
  <r>
    <s v="Mythco 120COB Solar Wall Ligt With Motion Sensor And Remote Control 3 Modes"/>
    <n v="458"/>
    <n v="986"/>
    <n v="0.54"/>
    <n v="10"/>
    <n v="3"/>
    <n v="528"/>
    <x v="2"/>
    <x v="1"/>
    <x v="2"/>
  </r>
  <r>
    <s v="5-PCS Stainless Steel Cooking Pot Set With Steamed Slices"/>
    <n v="2115"/>
    <n v="4700"/>
    <n v="0.55000000000000004"/>
    <n v="13"/>
    <n v="2.1"/>
    <n v="2585"/>
    <x v="1"/>
    <x v="1"/>
    <x v="4"/>
  </r>
  <r>
    <s v="120W Cordless Vacuum Cleaners Handheld Electric Vacuum Cleaner"/>
    <n v="445"/>
    <n v="873"/>
    <n v="0.49"/>
    <n v="69"/>
    <n v="2.8"/>
    <n v="428"/>
    <x v="2"/>
    <x v="1"/>
    <x v="4"/>
  </r>
  <r>
    <s v="Intelligent  LED Body Sensor Wireless Lighting Night Light USB"/>
    <n v="325"/>
    <n v="680"/>
    <n v="0.52"/>
    <n v="15"/>
    <n v="2.7"/>
    <n v="355"/>
    <x v="2"/>
    <x v="1"/>
    <x v="4"/>
  </r>
  <r>
    <s v="VIC Wireless Vacuum Cleaner Dual Use For Home And Car 120W High Power Powerful"/>
    <n v="1220"/>
    <n v="1555"/>
    <n v="0.22"/>
    <n v="16"/>
    <n v="2.9"/>
    <n v="335"/>
    <x v="0"/>
    <x v="0"/>
    <x v="4"/>
  </r>
  <r>
    <s v="Artificial Potted Flowers Room Decorative Flowers (2 Pieces)"/>
    <n v="990"/>
    <n v="1814"/>
    <n v="0.45"/>
    <n v="6"/>
    <n v="2.2000000000000002"/>
    <n v="824"/>
    <x v="0"/>
    <x v="1"/>
    <x v="4"/>
  </r>
  <r>
    <s v="380ML USB Rechargeable Portable Small Blenders And Juicers"/>
    <n v="1000"/>
    <n v="2000"/>
    <n v="0.5"/>
    <n v="7"/>
    <n v="2.2999999999999998"/>
    <n v="1000"/>
    <x v="0"/>
    <x v="1"/>
    <x v="4"/>
  </r>
  <r>
    <s v="32PCS Portable Cordless Drill Set With Cyclic Battery Drive -26 Variable Speed"/>
    <n v="3750"/>
    <n v="6143"/>
    <n v="0.39"/>
    <n v="5"/>
    <n v="3"/>
    <n v="2393"/>
    <x v="1"/>
    <x v="0"/>
    <x v="2"/>
  </r>
  <r>
    <s v="Agapeon Toothbrush Holder And Toothpaste Dispenser"/>
    <n v="382"/>
    <n v="700"/>
    <n v="0.45"/>
    <n v="17"/>
    <n v="2.6"/>
    <n v="318"/>
    <x v="2"/>
    <x v="1"/>
    <x v="4"/>
  </r>
  <r>
    <s v="Large Lazy Inflatable Sofa Chairs PVC Lounger Seat Bag"/>
    <n v="2300"/>
    <n v="3240"/>
    <n v="0.28999999999999998"/>
    <n v="5"/>
    <n v="3"/>
    <n v="940"/>
    <x v="1"/>
    <x v="0"/>
    <x v="2"/>
  </r>
  <r>
    <s v="Watercolour Gold Foil Textured Print Pillow Cover"/>
    <n v="345"/>
    <n v="602"/>
    <n v="0.43"/>
    <n v="6"/>
    <n v="2.2999999999999998"/>
    <n v="257"/>
    <x v="2"/>
    <x v="1"/>
    <x v="4"/>
  </r>
  <r>
    <s v="Wrought Iron Bathroom Shelf Wall Mounted Free Punch Toilet Rack"/>
    <n v="509"/>
    <n v="899"/>
    <n v="0.43"/>
    <n v="5"/>
    <n v="3"/>
    <n v="390"/>
    <x v="0"/>
    <x v="1"/>
    <x v="2"/>
  </r>
  <r>
    <s v="7-piece Set Of Storage Bags, Travel Storage Bags, Shoe Bags"/>
    <n v="968"/>
    <n v="1814"/>
    <n v="0.47"/>
    <n v="6"/>
    <n v="2.2000000000000002"/>
    <n v="846"/>
    <x v="0"/>
    <x v="1"/>
    <x v="4"/>
  </r>
  <r>
    <s v="Electric LED UV Mosquito Killer Lamp, Outdoor/Indoor Fly Killer Trap Light -USB"/>
    <n v="1570"/>
    <n v="2988"/>
    <n v="0.47"/>
    <n v="7"/>
    <n v="2.1"/>
    <n v="1418"/>
    <x v="1"/>
    <x v="1"/>
    <x v="4"/>
  </r>
  <r>
    <s v="2PCS/LOT Solar LED Outdoor Intelligent Light Controlled Wall Lamp"/>
    <n v="790"/>
    <n v="1485"/>
    <n v="0.47"/>
    <n v="0"/>
    <s v="Not Rated"/>
    <n v="695"/>
    <x v="0"/>
    <x v="1"/>
    <x v="3"/>
  </r>
  <r>
    <s v="3PCS Rotary Scraper Thermomix For Kitchen"/>
    <n v="690"/>
    <n v="1200"/>
    <n v="0.43"/>
    <n v="0"/>
    <s v="Not Rated"/>
    <n v="510"/>
    <x v="0"/>
    <x v="1"/>
    <x v="3"/>
  </r>
  <r>
    <s v="Cushion Silicone Butt Cushion Summer Ice Cushion Honeycomb Gel Cushion"/>
    <n v="1732"/>
    <n v="1799"/>
    <n v="0.04"/>
    <n v="0"/>
    <s v="Not Rated"/>
    <n v="67"/>
    <x v="1"/>
    <x v="2"/>
    <x v="3"/>
  </r>
  <r>
    <s v="7PCS Silicone Thumb Knife Finger Protector Vegetable Harvesting Knife"/>
    <n v="230"/>
    <n v="450"/>
    <n v="0.49"/>
    <n v="0"/>
    <s v="Not Rated"/>
    <n v="220"/>
    <x v="2"/>
    <x v="1"/>
    <x v="3"/>
  </r>
  <r>
    <s v="Memory Foam Neck Pillow Cover, With Pillow Core - 50*30cm"/>
    <n v="1189"/>
    <n v="2199"/>
    <n v="0.46"/>
    <n v="1"/>
    <n v="3"/>
    <n v="1010"/>
    <x v="0"/>
    <x v="1"/>
    <x v="2"/>
  </r>
  <r>
    <s v="Bedroom Simple Floor Hanging Clothes Rack Single Pole Hat Rack - White"/>
    <n v="979"/>
    <n v="1920"/>
    <n v="0.49"/>
    <n v="1"/>
    <n v="5"/>
    <n v="941"/>
    <x v="0"/>
    <x v="1"/>
    <x v="1"/>
  </r>
  <r>
    <s v="5m Waterproof Spherical LED String Lights Outdoor Ball Chain Lights Party Lighting Decoration Adjustable"/>
    <n v="1460"/>
    <n v="2290"/>
    <n v="0.36"/>
    <n v="0"/>
    <s v="Not Rated"/>
    <n v="830"/>
    <x v="0"/>
    <x v="0"/>
    <x v="3"/>
  </r>
  <r>
    <s v="2 Pairs Cowhide Split Leather Work Gloves.32â„‰ Or Above Welding Gloves"/>
    <n v="1666"/>
    <n v="1699"/>
    <n v="0.02"/>
    <n v="0"/>
    <s v="Not Rated"/>
    <n v="33"/>
    <x v="1"/>
    <x v="2"/>
    <x v="3"/>
  </r>
  <r>
    <s v="Household Pineapple Peeler Peeler"/>
    <n v="330"/>
    <n v="647"/>
    <n v="0.49"/>
    <n v="1"/>
    <n v="4"/>
    <n v="317"/>
    <x v="2"/>
    <x v="1"/>
    <x v="2"/>
  </r>
  <r>
    <s v="Creative Owl Shape Keychain Black"/>
    <n v="176"/>
    <n v="345"/>
    <n v="0.49"/>
    <n v="0"/>
    <s v="Not Rated"/>
    <n v="169"/>
    <x v="2"/>
    <x v="1"/>
    <x v="3"/>
  </r>
  <r>
    <s v="Office Chair Lumbar Back Support Spine Posture Correction Pillow Car Cushion"/>
    <n v="1466"/>
    <n v="1699"/>
    <n v="0.14000000000000001"/>
    <n v="0"/>
    <s v="Not Rated"/>
    <n v="233"/>
    <x v="0"/>
    <x v="2"/>
    <x v="3"/>
  </r>
  <r>
    <s v="Cartoon Car Decoration Cute Individuality For Car Home Desk"/>
    <n v="274"/>
    <n v="537"/>
    <n v="0.49"/>
    <n v="0"/>
    <s v="Not Rated"/>
    <n v="263"/>
    <x v="2"/>
    <x v="1"/>
    <x v="3"/>
  </r>
  <r>
    <s v="Outdoor Portable Water Bottle With Medicine Box - 600ML - Black"/>
    <n v="799"/>
    <n v="900"/>
    <n v="0.11"/>
    <n v="0"/>
    <s v="Not Rated"/>
    <n v="101"/>
    <x v="0"/>
    <x v="2"/>
    <x v="3"/>
  </r>
  <r>
    <s v="Angle Measuring Tool Full Metal Multi Angle Measuring Tool"/>
    <n v="657"/>
    <n v="1288"/>
    <n v="0.49"/>
    <n v="0"/>
    <s v="Not Rated"/>
    <n v="631"/>
    <x v="0"/>
    <x v="1"/>
    <x v="3"/>
  </r>
  <r>
    <s v="Wall-Mounted Toothbrush Toothpaste Holder With Multiple Slots"/>
    <n v="1468"/>
    <n v="1699"/>
    <n v="0.14000000000000001"/>
    <n v="0"/>
    <s v="Not Rated"/>
    <n v="231"/>
    <x v="0"/>
    <x v="2"/>
    <x v="3"/>
  </r>
  <r>
    <s v="Multifunctional Hanging Storage Box Storage Bag (4 Layers)"/>
    <n v="630"/>
    <n v="1100"/>
    <n v="0.43"/>
    <n v="0"/>
    <s v="Not Rated"/>
    <n v="470"/>
    <x v="0"/>
    <x v="1"/>
    <x v="3"/>
  </r>
  <r>
    <s v="Wall Clock With Hidden Safe Box"/>
    <n v="850"/>
    <n v="1700"/>
    <n v="0.5"/>
    <n v="0"/>
    <s v="Not Rated"/>
    <n v="850"/>
    <x v="0"/>
    <x v="1"/>
    <x v="3"/>
  </r>
  <r>
    <s v="Portable Wine Table With Folding Round Table"/>
    <n v="1300"/>
    <n v="2500"/>
    <n v="0.48"/>
    <n v="0"/>
    <s v="Not Rated"/>
    <n v="1200"/>
    <x v="0"/>
    <x v="1"/>
    <x v="3"/>
  </r>
  <r>
    <s v="Sewing Machine Needle Threader Stitch Insertion Tool Automatic Quick Sewing"/>
    <n v="105"/>
    <n v="200"/>
    <n v="0.48"/>
    <n v="0"/>
    <s v="Not Rated"/>
    <n v="95"/>
    <x v="2"/>
    <x v="1"/>
    <x v="3"/>
  </r>
  <r>
    <s v="6 Layers Steel Pipe Assembling Dustproof Storage Shoe Cabinet"/>
    <n v="899"/>
    <n v="1699"/>
    <n v="0.47"/>
    <n v="0"/>
    <s v="Not Rated"/>
    <n v="800"/>
    <x v="0"/>
    <x v="1"/>
    <x v="3"/>
  </r>
  <r>
    <s v="2PCS Ice Silk Square Cushion Cover Pillowcases - 65x65cm"/>
    <n v="1200"/>
    <n v="2400"/>
    <n v="0.5"/>
    <n v="0"/>
    <s v="Not Rated"/>
    <n v="1200"/>
    <x v="0"/>
    <x v="1"/>
    <x v="3"/>
  </r>
  <r>
    <s v="Wall Mount Automatic Toothpaste Dispenser Toothbrush Holder Toothpaste Squeezer"/>
    <n v="1526"/>
    <n v="1660"/>
    <n v="0.08"/>
    <n v="0"/>
    <s v="Not Rated"/>
    <n v="134"/>
    <x v="1"/>
    <x v="2"/>
    <x v="3"/>
  </r>
  <r>
    <s v="Portable Soap Dispenser Kitchen Detergent Press Box Kitchen Tools"/>
    <n v="1462"/>
    <n v="1499"/>
    <n v="0.02"/>
    <n v="0"/>
    <s v="Not Rated"/>
    <n v="37"/>
    <x v="0"/>
    <x v="2"/>
    <x v="3"/>
  </r>
  <r>
    <s v="4 Piece Coloured Stainless Steel Kitchenware Set"/>
    <n v="248"/>
    <n v="486"/>
    <n v="0.49"/>
    <n v="0"/>
    <s v="Not Rated"/>
    <n v="238"/>
    <x v="2"/>
    <x v="1"/>
    <x v="3"/>
  </r>
  <r>
    <s v="Metal Wall Clock Silver Dial Crystal Jewelry Round Home Decoration Wall Clock"/>
    <n v="3546"/>
    <n v="3699"/>
    <n v="0.04"/>
    <n v="0"/>
    <s v="Not Rated"/>
    <n v="153"/>
    <x v="1"/>
    <x v="2"/>
    <x v="3"/>
  </r>
  <r>
    <s v="Baby Early Education Shape And Color Cognitive Training Toys"/>
    <n v="525"/>
    <n v="1029"/>
    <n v="0.49"/>
    <n v="0"/>
    <s v="Not Rated"/>
    <n v="504"/>
    <x v="0"/>
    <x v="1"/>
    <x v="3"/>
  </r>
  <r>
    <s v="8in1 Screwdriver With LED Light"/>
    <n v="1080"/>
    <n v="1874"/>
    <n v="0.42"/>
    <n v="0"/>
    <s v="Not Rated"/>
    <n v="794"/>
    <x v="0"/>
    <x v="1"/>
    <x v="3"/>
  </r>
  <r>
    <s v="Konka Healty Electric Kettle, 24-hour Heat Preservation,1.5L,800W, White"/>
    <n v="3640"/>
    <n v="4588"/>
    <n v="0.21"/>
    <n v="1"/>
    <n v="5"/>
    <n v="948"/>
    <x v="1"/>
    <x v="0"/>
    <x v="1"/>
  </r>
  <r>
    <s v="9pcs Gas Mask, For Painting, Dust, Formaldehyde Grinding, Polishing"/>
    <n v="1420"/>
    <n v="2420"/>
    <n v="0.41"/>
    <n v="0"/>
    <s v="Not Rated"/>
    <n v="1000"/>
    <x v="0"/>
    <x v="1"/>
    <x v="3"/>
  </r>
  <r>
    <s v="24 Grid Wall-mounted Sundries Organiser Fabric Closet Bag Storage Rack"/>
    <n v="1875"/>
    <n v="1899"/>
    <n v="0.01"/>
    <n v="0"/>
    <s v="Not Rated"/>
    <n v="24"/>
    <x v="1"/>
    <x v="2"/>
    <x v="3"/>
  </r>
  <r>
    <s v="1PC Refrigerator Food Seal Pocket Fridge Bags"/>
    <n v="198"/>
    <n v="260"/>
    <n v="0.24"/>
    <n v="0"/>
    <s v="Not Rated"/>
    <n v="62"/>
    <x v="2"/>
    <x v="0"/>
    <x v="3"/>
  </r>
  <r>
    <s v="LED Solar Street Light-fake Camera"/>
    <n v="1150"/>
    <n v="1737"/>
    <n v="0.34"/>
    <n v="0"/>
    <s v="Not Rated"/>
    <n v="587"/>
    <x v="0"/>
    <x v="0"/>
    <x v="3"/>
  </r>
  <r>
    <s v="Cartoon Embroidered Mini Towel Bear Cotton Wash Cloth Hand 4pcs"/>
    <n v="1190"/>
    <n v="1810"/>
    <n v="0.34"/>
    <n v="0"/>
    <s v="Not Rated"/>
    <n v="620"/>
    <x v="0"/>
    <x v="0"/>
    <x v="3"/>
  </r>
  <r>
    <s v="Shower Nozzle Cleaning Unclogging Needle Mini Crevice Small Hole Cleaning Brush"/>
    <n v="1658"/>
    <n v="1699"/>
    <n v="0.02"/>
    <n v="0"/>
    <s v="Not Rated"/>
    <n v="41"/>
    <x v="1"/>
    <x v="2"/>
    <x v="3"/>
  </r>
  <r>
    <s v="Thickening Multipurpose Non Stick Easy To Clean Heat Resistant Spoon Pad"/>
    <n v="1768"/>
    <n v="1799"/>
    <n v="0.02"/>
    <n v="0"/>
    <s v="Not Rated"/>
    <n v="31"/>
    <x v="1"/>
    <x v="2"/>
    <x v="3"/>
  </r>
  <r>
    <s v="6 In 1 Bottle Can Opener Multifunctional Easy Opener"/>
    <n v="199"/>
    <n v="553"/>
    <n v="0.64"/>
    <n v="0"/>
    <s v="Not Rated"/>
    <n v="354"/>
    <x v="2"/>
    <x v="1"/>
    <x v="3"/>
  </r>
  <r>
    <s v="Wall-mounted Sticker Punch-free Plug Fixer"/>
    <n v="450"/>
    <n v="900"/>
    <n v="0.5"/>
    <n v="1"/>
    <n v="2"/>
    <n v="450"/>
    <x v="2"/>
    <x v="1"/>
    <x v="4"/>
  </r>
  <r>
    <s v="Black Simple Water Cup Wine Coaster Anti Slip Absorbent"/>
    <n v="169"/>
    <n v="320"/>
    <n v="0.47"/>
    <n v="0"/>
    <s v="Not Rated"/>
    <n v="151"/>
    <x v="2"/>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48A0D-5E8F-481A-8058-2D66C5A04D0A}" name="Rating Categor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1:J17" firstHeaderRow="0" firstDataRow="1" firstDataCol="1"/>
  <pivotFields count="10">
    <pivotField dataField="1" showAll="0"/>
    <pivotField numFmtId="2" showAll="0"/>
    <pivotField numFmtId="2" showAll="0"/>
    <pivotField numFmtId="9" showAll="0"/>
    <pivotField dataField="1" showAll="0"/>
    <pivotField showAll="0"/>
    <pivotField numFmtId="2" showAll="0"/>
    <pivotField showAll="0">
      <items count="4">
        <item x="2"/>
        <item x="0"/>
        <item x="1"/>
        <item t="default"/>
      </items>
    </pivotField>
    <pivotField showAll="0">
      <items count="4">
        <item x="1"/>
        <item x="2"/>
        <item x="0"/>
        <item t="default"/>
      </items>
    </pivotField>
    <pivotField axis="axisRow" showAll="0">
      <items count="6">
        <item x="2"/>
        <item x="1"/>
        <item x="0"/>
        <item x="3"/>
        <item x="4"/>
        <item t="default"/>
      </items>
    </pivotField>
  </pivotFields>
  <rowFields count="1">
    <field x="9"/>
  </rowFields>
  <rowItems count="6">
    <i>
      <x/>
    </i>
    <i>
      <x v="1"/>
    </i>
    <i>
      <x v="2"/>
    </i>
    <i>
      <x v="3"/>
    </i>
    <i>
      <x v="4"/>
    </i>
    <i t="grand">
      <x/>
    </i>
  </rowItems>
  <colFields count="1">
    <field x="-2"/>
  </colFields>
  <colItems count="2">
    <i>
      <x/>
    </i>
    <i i="1">
      <x v="1"/>
    </i>
  </colItems>
  <dataFields count="2">
    <dataField name="Sum of Review" fld="4" baseField="0" baseItem="0"/>
    <dataField name="Count of Produc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855C7-4766-49D3-984F-8AB7FC216D75}" name="Discount Categor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3:J7" firstHeaderRow="0" firstDataRow="1" firstDataCol="1"/>
  <pivotFields count="10">
    <pivotField dataField="1" showAll="0"/>
    <pivotField numFmtId="2" showAll="0"/>
    <pivotField numFmtId="2" showAll="0"/>
    <pivotField numFmtId="9" showAll="0"/>
    <pivotField dataField="1" showAll="0"/>
    <pivotField showAll="0"/>
    <pivotField numFmtId="2" showAll="0"/>
    <pivotField showAll="0">
      <items count="4">
        <item x="2"/>
        <item x="0"/>
        <item x="1"/>
        <item t="default"/>
      </items>
    </pivotField>
    <pivotField axis="axisRow" showAll="0">
      <items count="4">
        <item x="1"/>
        <item x="2"/>
        <item x="0"/>
        <item t="default"/>
      </items>
    </pivotField>
    <pivotField showAll="0"/>
  </pivotFields>
  <rowFields count="1">
    <field x="8"/>
  </rowFields>
  <rowItems count="4">
    <i>
      <x/>
    </i>
    <i>
      <x v="1"/>
    </i>
    <i>
      <x v="2"/>
    </i>
    <i t="grand">
      <x/>
    </i>
  </rowItems>
  <colFields count="1">
    <field x="-2"/>
  </colFields>
  <colItems count="2">
    <i>
      <x/>
    </i>
    <i i="1">
      <x v="1"/>
    </i>
  </colItems>
  <dataFields count="2">
    <dataField name="Sum of Review" fld="4" baseField="0" baseItem="0"/>
    <dataField name="Count of Product" fld="0" subtotal="count" baseField="0" baseItem="0"/>
  </dataFields>
  <chartFormats count="8">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8" count="1" selected="0">
            <x v="0"/>
          </reference>
        </references>
      </pivotArea>
    </chartFormat>
    <chartFormat chart="3" format="12">
      <pivotArea type="data" outline="0" fieldPosition="0">
        <references count="2">
          <reference field="4294967294" count="1" selected="0">
            <x v="0"/>
          </reference>
          <reference field="8" count="1" selected="0">
            <x v="1"/>
          </reference>
        </references>
      </pivotArea>
    </chartFormat>
    <chartFormat chart="3" format="13">
      <pivotArea type="data" outline="0" fieldPosition="0">
        <references count="2">
          <reference field="4294967294" count="1" selected="0">
            <x v="0"/>
          </reference>
          <reference field="8"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8" count="1" selected="0">
            <x v="0"/>
          </reference>
        </references>
      </pivotArea>
    </chartFormat>
    <chartFormat chart="3" format="16">
      <pivotArea type="data" outline="0" fieldPosition="0">
        <references count="2">
          <reference field="4294967294" count="1" selected="0">
            <x v="1"/>
          </reference>
          <reference field="8" count="1" selected="0">
            <x v="1"/>
          </reference>
        </references>
      </pivotArea>
    </chartFormat>
    <chartFormat chart="3" format="17">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ABE8CE-FFB2-4C87-9B6C-52DA4F79020D}" name="PivotTable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 firstHeaderRow="0" firstDataRow="0" firstDataCol="0"/>
  <pivotFields count="10">
    <pivotField showAll="0"/>
    <pivotField numFmtId="2" showAll="0"/>
    <pivotField numFmtId="2" showAll="0"/>
    <pivotField numFmtId="9" showAll="0"/>
    <pivotField showAll="0"/>
    <pivotField showAll="0"/>
    <pivotField numFmtId="2"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8E427D-A4A0-4EB9-B117-04D97776DE0C}" name="Price Categor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C15" firstHeaderRow="0" firstDataRow="1" firstDataCol="1"/>
  <pivotFields count="10">
    <pivotField dataField="1" showAll="0"/>
    <pivotField numFmtId="2" showAll="0"/>
    <pivotField numFmtId="2" showAll="0"/>
    <pivotField numFmtId="9" showAll="0"/>
    <pivotField dataField="1" showAll="0"/>
    <pivotField showAll="0"/>
    <pivotField numFmtId="2" showAll="0"/>
    <pivotField axis="axisRow" showAll="0">
      <items count="4">
        <item x="2"/>
        <item x="0"/>
        <item x="1"/>
        <item t="default"/>
      </items>
    </pivotField>
    <pivotField showAll="0">
      <items count="4">
        <item x="1"/>
        <item x="2"/>
        <item x="0"/>
        <item t="default"/>
      </items>
    </pivotField>
    <pivotField showAll="0"/>
  </pivotFields>
  <rowFields count="1">
    <field x="7"/>
  </rowFields>
  <rowItems count="4">
    <i>
      <x/>
    </i>
    <i>
      <x v="1"/>
    </i>
    <i>
      <x v="2"/>
    </i>
    <i t="grand">
      <x/>
    </i>
  </rowItems>
  <colFields count="1">
    <field x="-2"/>
  </colFields>
  <colItems count="2">
    <i>
      <x/>
    </i>
    <i i="1">
      <x v="1"/>
    </i>
  </colItems>
  <dataFields count="2">
    <dataField name="Sum of Review" fld="4" baseField="0" baseItem="0"/>
    <dataField name="Count of Product"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Price Category"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5C624AA2-2AEB-446D-B3ED-F215CA86CBF8}" sourceName="Price_Category">
  <pivotTables>
    <pivotTable tabId="2" name="Price Category"/>
    <pivotTable tabId="2" name="Discount Category"/>
    <pivotTable tabId="2" name="Rating Category"/>
  </pivotTables>
  <data>
    <tabular pivotCacheId="88968906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6CF18E07-F5D5-422B-8289-C284CDB63E4B}" sourceName="Discount_Category">
  <pivotTables>
    <pivotTable tabId="2" name="Price Category"/>
    <pivotTable tabId="2" name="Discount Category"/>
    <pivotTable tabId="2" name="Rating Category"/>
  </pivotTables>
  <data>
    <tabular pivotCacheId="88968906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xr10:uid="{BBFE4089-F088-4F5C-80E3-611EEADF0F30}" cache="Slicer_Price_Category" caption="Price_Category" rowHeight="241300"/>
  <slicer name="Discount_Category" xr10:uid="{12873625-A1EA-479F-A899-CA841DC9EBE4}" cache="Slicer_Discount_Category" caption="Discount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2FE4-9381-41A7-89F8-4E6258D45E1B}">
  <dimension ref="A1:J116"/>
  <sheetViews>
    <sheetView workbookViewId="0">
      <pane ySplit="1" topLeftCell="A2" activePane="bottomLeft" state="frozen"/>
      <selection pane="bottomLeft" activeCell="B5" sqref="B5"/>
    </sheetView>
  </sheetViews>
  <sheetFormatPr defaultRowHeight="14.5" x14ac:dyDescent="0.35"/>
  <cols>
    <col min="1" max="1" width="89.1796875" bestFit="1" customWidth="1"/>
    <col min="2" max="3" width="18.36328125" style="2" bestFit="1" customWidth="1"/>
    <col min="4" max="4" width="8.08984375" bestFit="1" customWidth="1"/>
    <col min="5" max="5" width="6.7265625" bestFit="1" customWidth="1"/>
    <col min="6" max="6" width="10.26953125" bestFit="1" customWidth="1"/>
    <col min="8" max="8" width="13.6328125" customWidth="1"/>
    <col min="9" max="9" width="16.81640625" customWidth="1"/>
    <col min="10" max="10" width="15.08984375" customWidth="1"/>
  </cols>
  <sheetData>
    <row r="1" spans="1:10" x14ac:dyDescent="0.35">
      <c r="A1" t="s">
        <v>0</v>
      </c>
      <c r="B1" s="2" t="s">
        <v>113</v>
      </c>
      <c r="C1" s="2" t="s">
        <v>112</v>
      </c>
      <c r="D1" t="s">
        <v>1</v>
      </c>
      <c r="E1" t="s">
        <v>2</v>
      </c>
      <c r="F1" t="s">
        <v>114</v>
      </c>
      <c r="G1" t="s">
        <v>1</v>
      </c>
      <c r="H1" t="s">
        <v>122</v>
      </c>
      <c r="I1" t="s">
        <v>123</v>
      </c>
      <c r="J1" t="s">
        <v>124</v>
      </c>
    </row>
    <row r="2" spans="1:10" x14ac:dyDescent="0.35">
      <c r="A2" t="s">
        <v>3</v>
      </c>
      <c r="B2" s="2">
        <v>950</v>
      </c>
      <c r="C2" s="2">
        <v>1525</v>
      </c>
      <c r="D2" s="1">
        <v>0.38</v>
      </c>
      <c r="E2">
        <v>2</v>
      </c>
      <c r="F2" s="5">
        <v>4.5</v>
      </c>
      <c r="G2" s="2">
        <f>C2-B2</f>
        <v>575</v>
      </c>
      <c r="H2" t="str">
        <f>IF(B2&lt;=500, "Budget", IF(B2&lt;=1500, "Mid-Range", "Premium"))</f>
        <v>Mid-Range</v>
      </c>
      <c r="I2" t="str">
        <f>IF(D2&lt;0.2, "Low ", IF(D2&lt;=0.4, "Medium", "High"))</f>
        <v>Medium</v>
      </c>
      <c r="J2" t="str" cm="1">
        <f t="array" ref="J2">_xlfn.IFS(F2="Not Rated", "Not Rated", F2&lt;3, "Poor", F2&lt;=4, "Average", F2&lt;=4.5, "Good", F2&gt;4.5, "Excellent")</f>
        <v>Good</v>
      </c>
    </row>
    <row r="3" spans="1:10" x14ac:dyDescent="0.35">
      <c r="A3" t="s">
        <v>4</v>
      </c>
      <c r="B3" s="2">
        <v>527</v>
      </c>
      <c r="C3" s="2">
        <v>999</v>
      </c>
      <c r="D3" s="1">
        <v>0.47</v>
      </c>
      <c r="E3">
        <v>14</v>
      </c>
      <c r="F3" s="5">
        <v>4.0999999999999996</v>
      </c>
      <c r="G3" s="2">
        <f t="shared" ref="G3:G66" si="0">C3-B3</f>
        <v>472</v>
      </c>
      <c r="H3" t="str">
        <f t="shared" ref="H3:H66" si="1">IF(B3&lt;=500, "Budget", IF(B3&lt;=1500, "Mid-Range", "Premium"))</f>
        <v>Mid-Range</v>
      </c>
      <c r="I3" t="str">
        <f t="shared" ref="I3:I66" si="2">IF(D3&lt;0.2, "Low ", IF(D3&lt;=0.4, "Medium", "High"))</f>
        <v>High</v>
      </c>
      <c r="J3" t="str" cm="1">
        <f t="array" ref="J3">_xlfn.IFS(F3="Not Rated", "Not Rated", F3&lt;3, "Poor", F3&lt;=4, "Average", F3&lt;=4.5, "Good", F3&gt;4.5, "Excellent")</f>
        <v>Good</v>
      </c>
    </row>
    <row r="4" spans="1:10" x14ac:dyDescent="0.35">
      <c r="A4" t="s">
        <v>5</v>
      </c>
      <c r="B4" s="2">
        <v>2199</v>
      </c>
      <c r="C4" s="2">
        <v>2923</v>
      </c>
      <c r="D4" s="1">
        <v>0.25</v>
      </c>
      <c r="E4">
        <v>24</v>
      </c>
      <c r="F4" s="5">
        <v>4.5999999999999996</v>
      </c>
      <c r="G4" s="2">
        <f t="shared" si="0"/>
        <v>724</v>
      </c>
      <c r="H4" t="str">
        <f t="shared" si="1"/>
        <v>Premium</v>
      </c>
      <c r="I4" t="str">
        <f t="shared" si="2"/>
        <v>Medium</v>
      </c>
      <c r="J4" t="str" cm="1">
        <f t="array" ref="J4">_xlfn.IFS(F4="Not Rated", "Not Rated", F4&lt;3, "Poor", F4&lt;=4, "Average", F4&lt;=4.5, "Good", F4&gt;4.5, "Excellent")</f>
        <v>Excellent</v>
      </c>
    </row>
    <row r="5" spans="1:10" x14ac:dyDescent="0.35">
      <c r="A5" t="s">
        <v>6</v>
      </c>
      <c r="B5" s="2">
        <v>1580</v>
      </c>
      <c r="C5" s="2">
        <v>2499</v>
      </c>
      <c r="D5" s="1">
        <v>0.37</v>
      </c>
      <c r="E5">
        <v>7</v>
      </c>
      <c r="F5" s="5">
        <v>4.7</v>
      </c>
      <c r="G5" s="2">
        <f t="shared" si="0"/>
        <v>919</v>
      </c>
      <c r="H5" t="str">
        <f t="shared" si="1"/>
        <v>Premium</v>
      </c>
      <c r="I5" t="str">
        <f t="shared" si="2"/>
        <v>Medium</v>
      </c>
      <c r="J5" t="str" cm="1">
        <f t="array" ref="J5">_xlfn.IFS(F5="Not Rated", "Not Rated", F5&lt;3, "Poor", F5&lt;=4, "Average", F5&lt;=4.5, "Good", F5&gt;4.5, "Excellent")</f>
        <v>Excellent</v>
      </c>
    </row>
    <row r="6" spans="1:10" x14ac:dyDescent="0.35">
      <c r="A6" t="s">
        <v>7</v>
      </c>
      <c r="B6" s="2">
        <v>1740</v>
      </c>
      <c r="C6" s="2">
        <v>2356</v>
      </c>
      <c r="D6" s="1">
        <v>0.26</v>
      </c>
      <c r="E6">
        <v>5</v>
      </c>
      <c r="F6" s="5">
        <v>4.8</v>
      </c>
      <c r="G6" s="2">
        <f t="shared" si="0"/>
        <v>616</v>
      </c>
      <c r="H6" t="str">
        <f t="shared" si="1"/>
        <v>Premium</v>
      </c>
      <c r="I6" t="str">
        <f t="shared" si="2"/>
        <v>Medium</v>
      </c>
      <c r="J6" t="str" cm="1">
        <f t="array" ref="J6">_xlfn.IFS(F6="Not Rated", "Not Rated", F6&lt;3, "Poor", F6&lt;=4, "Average", F6&lt;=4.5, "Good", F6&gt;4.5, "Excellent")</f>
        <v>Excellent</v>
      </c>
    </row>
    <row r="7" spans="1:10" x14ac:dyDescent="0.35">
      <c r="A7" t="s">
        <v>8</v>
      </c>
      <c r="B7" s="2">
        <v>2999</v>
      </c>
      <c r="C7" s="2">
        <v>3290</v>
      </c>
      <c r="D7" s="1">
        <v>0.09</v>
      </c>
      <c r="E7">
        <v>15</v>
      </c>
      <c r="F7" s="5">
        <v>4</v>
      </c>
      <c r="G7" s="2">
        <f t="shared" si="0"/>
        <v>291</v>
      </c>
      <c r="H7" t="str">
        <f t="shared" si="1"/>
        <v>Premium</v>
      </c>
      <c r="I7" t="str">
        <f t="shared" si="2"/>
        <v xml:space="preserve">Low </v>
      </c>
      <c r="J7" t="str" cm="1">
        <f t="array" ref="J7">_xlfn.IFS(F7="Not Rated", "Not Rated", F7&lt;3, "Poor", F7&lt;=4, "Average", F7&lt;=4.5, "Good", F7&gt;4.5, "Excellent")</f>
        <v>Average</v>
      </c>
    </row>
    <row r="8" spans="1:10" x14ac:dyDescent="0.35">
      <c r="A8" t="s">
        <v>9</v>
      </c>
      <c r="B8" s="2">
        <v>2319</v>
      </c>
      <c r="C8" s="2">
        <v>3032</v>
      </c>
      <c r="D8" s="1">
        <v>0.24</v>
      </c>
      <c r="E8">
        <v>55</v>
      </c>
      <c r="F8" s="5">
        <v>4.5999999999999996</v>
      </c>
      <c r="G8" s="2">
        <f t="shared" si="0"/>
        <v>713</v>
      </c>
      <c r="H8" t="str">
        <f t="shared" si="1"/>
        <v>Premium</v>
      </c>
      <c r="I8" t="str">
        <f t="shared" si="2"/>
        <v>Medium</v>
      </c>
      <c r="J8" t="str" cm="1">
        <f t="array" ref="J8">_xlfn.IFS(F8="Not Rated", "Not Rated", F8&lt;3, "Poor", F8&lt;=4, "Average", F8&lt;=4.5, "Good", F8&gt;4.5, "Excellent")</f>
        <v>Excellent</v>
      </c>
    </row>
    <row r="9" spans="1:10" x14ac:dyDescent="0.35">
      <c r="A9" t="s">
        <v>10</v>
      </c>
      <c r="B9" s="2">
        <v>988</v>
      </c>
      <c r="C9" s="2">
        <v>1580</v>
      </c>
      <c r="D9" s="1">
        <v>0.37</v>
      </c>
      <c r="E9">
        <v>2</v>
      </c>
      <c r="F9" s="5">
        <v>4</v>
      </c>
      <c r="G9" s="2">
        <f t="shared" si="0"/>
        <v>592</v>
      </c>
      <c r="H9" t="str">
        <f t="shared" si="1"/>
        <v>Mid-Range</v>
      </c>
      <c r="I9" t="str">
        <f t="shared" si="2"/>
        <v>Medium</v>
      </c>
      <c r="J9" t="str" cm="1">
        <f t="array" ref="J9">_xlfn.IFS(F9="Not Rated", "Not Rated", F9&lt;3, "Poor", F9&lt;=4, "Average", F9&lt;=4.5, "Good", F9&gt;4.5, "Excellent")</f>
        <v>Average</v>
      </c>
    </row>
    <row r="10" spans="1:10" x14ac:dyDescent="0.35">
      <c r="A10" t="s">
        <v>11</v>
      </c>
      <c r="B10" s="2">
        <v>1274</v>
      </c>
      <c r="C10" s="2">
        <v>2800</v>
      </c>
      <c r="D10" s="1">
        <v>0.55000000000000004</v>
      </c>
      <c r="E10">
        <v>5</v>
      </c>
      <c r="F10" s="5">
        <v>4.8</v>
      </c>
      <c r="G10" s="2">
        <f t="shared" si="0"/>
        <v>1526</v>
      </c>
      <c r="H10" t="str">
        <f t="shared" si="1"/>
        <v>Mid-Range</v>
      </c>
      <c r="I10" t="str">
        <f t="shared" si="2"/>
        <v>High</v>
      </c>
      <c r="J10" t="str" cm="1">
        <f t="array" ref="J10">_xlfn.IFS(F10="Not Rated", "Not Rated", F10&lt;3, "Poor", F10&lt;=4, "Average", F10&lt;=4.5, "Good", F10&gt;4.5, "Excellent")</f>
        <v>Excellent</v>
      </c>
    </row>
    <row r="11" spans="1:10" x14ac:dyDescent="0.35">
      <c r="A11" t="s">
        <v>12</v>
      </c>
      <c r="B11" s="2">
        <v>1600</v>
      </c>
      <c r="C11" s="2">
        <v>2929</v>
      </c>
      <c r="D11" s="1">
        <v>0.45</v>
      </c>
      <c r="E11">
        <v>5</v>
      </c>
      <c r="F11" s="5">
        <v>3.8</v>
      </c>
      <c r="G11" s="2">
        <f t="shared" si="0"/>
        <v>1329</v>
      </c>
      <c r="H11" t="str">
        <f t="shared" si="1"/>
        <v>Premium</v>
      </c>
      <c r="I11" t="str">
        <f t="shared" si="2"/>
        <v>High</v>
      </c>
      <c r="J11" t="str" cm="1">
        <f t="array" ref="J11">_xlfn.IFS(F11="Not Rated", "Not Rated", F11&lt;3, "Poor", F11&lt;=4, "Average", F11&lt;=4.5, "Good", F11&gt;4.5, "Excellent")</f>
        <v>Average</v>
      </c>
    </row>
    <row r="12" spans="1:10" x14ac:dyDescent="0.35">
      <c r="A12" t="s">
        <v>13</v>
      </c>
      <c r="B12" s="2">
        <v>799</v>
      </c>
      <c r="C12" s="2">
        <v>999</v>
      </c>
      <c r="D12" s="1">
        <v>0.2</v>
      </c>
      <c r="E12">
        <v>12</v>
      </c>
      <c r="F12" s="5">
        <v>4.0999999999999996</v>
      </c>
      <c r="G12" s="2">
        <f t="shared" si="0"/>
        <v>200</v>
      </c>
      <c r="H12" t="str">
        <f t="shared" si="1"/>
        <v>Mid-Range</v>
      </c>
      <c r="I12" t="str">
        <f t="shared" si="2"/>
        <v>Medium</v>
      </c>
      <c r="J12" t="str" cm="1">
        <f t="array" ref="J12">_xlfn.IFS(F12="Not Rated", "Not Rated", F12&lt;3, "Poor", F12&lt;=4, "Average", F12&lt;=4.5, "Good", F12&gt;4.5, "Excellent")</f>
        <v>Good</v>
      </c>
    </row>
    <row r="13" spans="1:10" x14ac:dyDescent="0.35">
      <c r="A13" t="s">
        <v>14</v>
      </c>
      <c r="B13" s="2">
        <v>990</v>
      </c>
      <c r="C13" s="2">
        <v>1500</v>
      </c>
      <c r="D13" s="1">
        <v>0.34</v>
      </c>
      <c r="E13">
        <v>39</v>
      </c>
      <c r="F13" s="5">
        <v>4.7</v>
      </c>
      <c r="G13" s="2">
        <f t="shared" si="0"/>
        <v>510</v>
      </c>
      <c r="H13" t="str">
        <f t="shared" si="1"/>
        <v>Mid-Range</v>
      </c>
      <c r="I13" t="str">
        <f t="shared" si="2"/>
        <v>Medium</v>
      </c>
      <c r="J13" t="str" cm="1">
        <f t="array" ref="J13">_xlfn.IFS(F13="Not Rated", "Not Rated", F13&lt;3, "Poor", F13&lt;=4, "Average", F13&lt;=4.5, "Good", F13&gt;4.5, "Excellent")</f>
        <v>Excellent</v>
      </c>
    </row>
    <row r="14" spans="1:10" x14ac:dyDescent="0.35">
      <c r="A14" t="s">
        <v>15</v>
      </c>
      <c r="B14" s="2">
        <v>552</v>
      </c>
      <c r="C14" s="2">
        <v>1035</v>
      </c>
      <c r="D14" s="1">
        <v>0.47</v>
      </c>
      <c r="E14">
        <v>12</v>
      </c>
      <c r="F14" s="5">
        <v>4.8</v>
      </c>
      <c r="G14" s="2">
        <f t="shared" si="0"/>
        <v>483</v>
      </c>
      <c r="H14" t="str">
        <f t="shared" si="1"/>
        <v>Mid-Range</v>
      </c>
      <c r="I14" t="str">
        <f t="shared" si="2"/>
        <v>High</v>
      </c>
      <c r="J14" t="str" cm="1">
        <f t="array" ref="J14">_xlfn.IFS(F14="Not Rated", "Not Rated", F14&lt;3, "Poor", F14&lt;=4, "Average", F14&lt;=4.5, "Good", F14&gt;4.5, "Excellent")</f>
        <v>Excellent</v>
      </c>
    </row>
    <row r="15" spans="1:10" x14ac:dyDescent="0.35">
      <c r="A15" t="s">
        <v>16</v>
      </c>
      <c r="B15" s="2">
        <v>501</v>
      </c>
      <c r="C15" s="2">
        <v>860</v>
      </c>
      <c r="D15" s="1">
        <v>0.42</v>
      </c>
      <c r="E15">
        <v>6</v>
      </c>
      <c r="F15" s="5">
        <v>4.5</v>
      </c>
      <c r="G15" s="2">
        <f t="shared" si="0"/>
        <v>359</v>
      </c>
      <c r="H15" t="str">
        <f t="shared" si="1"/>
        <v>Mid-Range</v>
      </c>
      <c r="I15" t="str">
        <f t="shared" si="2"/>
        <v>High</v>
      </c>
      <c r="J15" t="str" cm="1">
        <f t="array" ref="J15">_xlfn.IFS(F15="Not Rated", "Not Rated", F15&lt;3, "Poor", F15&lt;=4, "Average", F15&lt;=4.5, "Good", F15&gt;4.5, "Excellent")</f>
        <v>Good</v>
      </c>
    </row>
    <row r="16" spans="1:10" x14ac:dyDescent="0.35">
      <c r="A16" t="s">
        <v>17</v>
      </c>
      <c r="B16" s="2">
        <v>1680</v>
      </c>
      <c r="C16" s="2">
        <v>2499</v>
      </c>
      <c r="D16" s="1">
        <v>0.33</v>
      </c>
      <c r="E16">
        <v>9</v>
      </c>
      <c r="F16" s="5">
        <v>4.2</v>
      </c>
      <c r="G16" s="2">
        <f t="shared" si="0"/>
        <v>819</v>
      </c>
      <c r="H16" t="str">
        <f t="shared" si="1"/>
        <v>Premium</v>
      </c>
      <c r="I16" t="str">
        <f t="shared" si="2"/>
        <v>Medium</v>
      </c>
      <c r="J16" t="str" cm="1">
        <f t="array" ref="J16">_xlfn.IFS(F16="Not Rated", "Not Rated", F16&lt;3, "Poor", F16&lt;=4, "Average", F16&lt;=4.5, "Good", F16&gt;4.5, "Excellent")</f>
        <v>Good</v>
      </c>
    </row>
    <row r="17" spans="1:10" x14ac:dyDescent="0.35">
      <c r="A17" t="s">
        <v>18</v>
      </c>
      <c r="B17" s="2">
        <v>332</v>
      </c>
      <c r="C17" s="2">
        <v>684</v>
      </c>
      <c r="D17" s="1">
        <v>0.51</v>
      </c>
      <c r="E17">
        <v>2</v>
      </c>
      <c r="F17" s="5">
        <v>5</v>
      </c>
      <c r="G17" s="2">
        <f t="shared" si="0"/>
        <v>352</v>
      </c>
      <c r="H17" t="str">
        <f t="shared" si="1"/>
        <v>Budget</v>
      </c>
      <c r="I17" t="str">
        <f t="shared" si="2"/>
        <v>High</v>
      </c>
      <c r="J17" t="str" cm="1">
        <f t="array" ref="J17">_xlfn.IFS(F17="Not Rated", "Not Rated", F17&lt;3, "Poor", F17&lt;=4, "Average", F17&lt;=4.5, "Good", F17&gt;4.5, "Excellent")</f>
        <v>Excellent</v>
      </c>
    </row>
    <row r="18" spans="1:10" x14ac:dyDescent="0.35">
      <c r="A18" t="s">
        <v>19</v>
      </c>
      <c r="B18" s="2">
        <v>195</v>
      </c>
      <c r="C18" s="2">
        <v>360</v>
      </c>
      <c r="D18" s="1">
        <v>0.46</v>
      </c>
      <c r="E18">
        <v>2</v>
      </c>
      <c r="F18" s="5">
        <v>5</v>
      </c>
      <c r="G18" s="2">
        <f t="shared" si="0"/>
        <v>165</v>
      </c>
      <c r="H18" t="str">
        <f t="shared" si="1"/>
        <v>Budget</v>
      </c>
      <c r="I18" t="str">
        <f t="shared" si="2"/>
        <v>High</v>
      </c>
      <c r="J18" t="str" cm="1">
        <f t="array" ref="J18">_xlfn.IFS(F18="Not Rated", "Not Rated", F18&lt;3, "Poor", F18&lt;=4, "Average", F18&lt;=4.5, "Good", F18&gt;4.5, "Excellent")</f>
        <v>Excellent</v>
      </c>
    </row>
    <row r="19" spans="1:10" x14ac:dyDescent="0.35">
      <c r="A19" t="s">
        <v>20</v>
      </c>
      <c r="B19" s="2">
        <v>2025</v>
      </c>
      <c r="C19" s="2">
        <v>3971</v>
      </c>
      <c r="D19" s="1">
        <v>0.49</v>
      </c>
      <c r="E19">
        <v>3</v>
      </c>
      <c r="F19" s="5">
        <v>5</v>
      </c>
      <c r="G19" s="2">
        <f t="shared" si="0"/>
        <v>1946</v>
      </c>
      <c r="H19" t="str">
        <f t="shared" si="1"/>
        <v>Premium</v>
      </c>
      <c r="I19" t="str">
        <f t="shared" si="2"/>
        <v>High</v>
      </c>
      <c r="J19" t="str" cm="1">
        <f t="array" ref="J19">_xlfn.IFS(F19="Not Rated", "Not Rated", F19&lt;3, "Poor", F19&lt;=4, "Average", F19&lt;=4.5, "Good", F19&gt;4.5, "Excellent")</f>
        <v>Excellent</v>
      </c>
    </row>
    <row r="20" spans="1:10" x14ac:dyDescent="0.35">
      <c r="A20" t="s">
        <v>21</v>
      </c>
      <c r="B20" s="2">
        <v>2999</v>
      </c>
      <c r="C20" s="2">
        <v>3699</v>
      </c>
      <c r="D20" s="1">
        <v>0.19</v>
      </c>
      <c r="E20">
        <v>5</v>
      </c>
      <c r="F20" s="5">
        <v>4.5999999999999996</v>
      </c>
      <c r="G20" s="2">
        <f t="shared" si="0"/>
        <v>700</v>
      </c>
      <c r="H20" t="str">
        <f t="shared" si="1"/>
        <v>Premium</v>
      </c>
      <c r="I20" t="str">
        <f t="shared" si="2"/>
        <v xml:space="preserve">Low </v>
      </c>
      <c r="J20" t="str" cm="1">
        <f t="array" ref="J20">_xlfn.IFS(F20="Not Rated", "Not Rated", F20&lt;3, "Poor", F20&lt;=4, "Average", F20&lt;=4.5, "Good", F20&gt;4.5, "Excellent")</f>
        <v>Excellent</v>
      </c>
    </row>
    <row r="21" spans="1:10" x14ac:dyDescent="0.35">
      <c r="A21" t="s">
        <v>22</v>
      </c>
      <c r="B21" s="2">
        <v>998</v>
      </c>
      <c r="C21" s="2">
        <v>1966</v>
      </c>
      <c r="D21" s="1">
        <v>0.49</v>
      </c>
      <c r="E21">
        <v>44</v>
      </c>
      <c r="F21" s="5">
        <v>4.5999999999999996</v>
      </c>
      <c r="G21" s="2">
        <f t="shared" si="0"/>
        <v>968</v>
      </c>
      <c r="H21" t="str">
        <f t="shared" si="1"/>
        <v>Mid-Range</v>
      </c>
      <c r="I21" t="str">
        <f t="shared" si="2"/>
        <v>High</v>
      </c>
      <c r="J21" t="str" cm="1">
        <f t="array" ref="J21">_xlfn.IFS(F21="Not Rated", "Not Rated", F21&lt;3, "Poor", F21&lt;=4, "Average", F21&lt;=4.5, "Good", F21&gt;4.5, "Excellent")</f>
        <v>Excellent</v>
      </c>
    </row>
    <row r="22" spans="1:10" x14ac:dyDescent="0.35">
      <c r="A22" t="s">
        <v>23</v>
      </c>
      <c r="B22" s="2">
        <v>38</v>
      </c>
      <c r="C22" s="2">
        <v>80</v>
      </c>
      <c r="D22" s="1">
        <v>0.53</v>
      </c>
      <c r="E22">
        <v>13</v>
      </c>
      <c r="F22" s="5">
        <v>3.3</v>
      </c>
      <c r="G22" s="2">
        <f t="shared" si="0"/>
        <v>42</v>
      </c>
      <c r="H22" t="str">
        <f t="shared" si="1"/>
        <v>Budget</v>
      </c>
      <c r="I22" t="str">
        <f t="shared" si="2"/>
        <v>High</v>
      </c>
      <c r="J22" t="str" cm="1">
        <f t="array" ref="J22">_xlfn.IFS(F22="Not Rated", "Not Rated", F22&lt;3, "Poor", F22&lt;=4, "Average", F22&lt;=4.5, "Good", F22&gt;4.5, "Excellent")</f>
        <v>Average</v>
      </c>
    </row>
    <row r="23" spans="1:10" x14ac:dyDescent="0.35">
      <c r="A23" t="s">
        <v>24</v>
      </c>
      <c r="B23" s="2">
        <v>1860</v>
      </c>
      <c r="C23" s="2">
        <v>3220</v>
      </c>
      <c r="D23" s="1">
        <v>0.42</v>
      </c>
      <c r="E23">
        <v>0</v>
      </c>
      <c r="F23" t="s">
        <v>115</v>
      </c>
      <c r="G23" s="2">
        <f t="shared" si="0"/>
        <v>1360</v>
      </c>
      <c r="H23" t="str">
        <f t="shared" si="1"/>
        <v>Premium</v>
      </c>
      <c r="I23" t="str">
        <f t="shared" si="2"/>
        <v>High</v>
      </c>
      <c r="J23" t="str" cm="1">
        <f t="array" ref="J23">_xlfn.IFS(F23="Not Rated", "Not Rated", F23&lt;3, "Poor", F23&lt;=4, "Average", F23&lt;=4.5, "Good", F23&gt;4.5, "Excellent")</f>
        <v>Not Rated</v>
      </c>
    </row>
    <row r="24" spans="1:10" x14ac:dyDescent="0.35">
      <c r="A24" t="s">
        <v>25</v>
      </c>
      <c r="B24" s="2">
        <v>880</v>
      </c>
      <c r="C24" s="2">
        <v>1350</v>
      </c>
      <c r="D24" s="1">
        <v>0.35</v>
      </c>
      <c r="E24">
        <v>6</v>
      </c>
      <c r="F24" s="5">
        <v>4</v>
      </c>
      <c r="G24" s="2">
        <f t="shared" si="0"/>
        <v>470</v>
      </c>
      <c r="H24" t="str">
        <f t="shared" si="1"/>
        <v>Mid-Range</v>
      </c>
      <c r="I24" t="str">
        <f t="shared" si="2"/>
        <v>Medium</v>
      </c>
      <c r="J24" t="str" cm="1">
        <f t="array" ref="J24">_xlfn.IFS(F24="Not Rated", "Not Rated", F24&lt;3, "Poor", F24&lt;=4, "Average", F24&lt;=4.5, "Good", F24&gt;4.5, "Excellent")</f>
        <v>Average</v>
      </c>
    </row>
    <row r="25" spans="1:10" x14ac:dyDescent="0.35">
      <c r="A25" t="s">
        <v>26</v>
      </c>
      <c r="B25" s="2">
        <v>1650</v>
      </c>
      <c r="C25" s="2">
        <v>2150</v>
      </c>
      <c r="D25" s="1">
        <v>0.23</v>
      </c>
      <c r="E25">
        <v>14</v>
      </c>
      <c r="F25" s="5">
        <v>4.4000000000000004</v>
      </c>
      <c r="G25" s="2">
        <f t="shared" si="0"/>
        <v>500</v>
      </c>
      <c r="H25" t="str">
        <f t="shared" si="1"/>
        <v>Premium</v>
      </c>
      <c r="I25" t="str">
        <f t="shared" si="2"/>
        <v>Medium</v>
      </c>
      <c r="J25" t="str" cm="1">
        <f t="array" ref="J25">_xlfn.IFS(F25="Not Rated", "Not Rated", F25&lt;3, "Poor", F25&lt;=4, "Average", F25&lt;=4.5, "Good", F25&gt;4.5, "Excellent")</f>
        <v>Good</v>
      </c>
    </row>
    <row r="26" spans="1:10" x14ac:dyDescent="0.35">
      <c r="A26" t="s">
        <v>27</v>
      </c>
      <c r="B26" s="2">
        <v>2048</v>
      </c>
      <c r="C26" s="2">
        <v>4500</v>
      </c>
      <c r="D26" s="1">
        <v>0.54</v>
      </c>
      <c r="E26">
        <v>7</v>
      </c>
      <c r="F26" s="5">
        <v>4.3</v>
      </c>
      <c r="G26" s="2">
        <f t="shared" si="0"/>
        <v>2452</v>
      </c>
      <c r="H26" t="str">
        <f t="shared" si="1"/>
        <v>Premium</v>
      </c>
      <c r="I26" t="str">
        <f t="shared" si="2"/>
        <v>High</v>
      </c>
      <c r="J26" t="str" cm="1">
        <f t="array" ref="J26">_xlfn.IFS(F26="Not Rated", "Not Rated", F26&lt;3, "Poor", F26&lt;=4, "Average", F26&lt;=4.5, "Good", F26&gt;4.5, "Excellent")</f>
        <v>Good</v>
      </c>
    </row>
    <row r="27" spans="1:10" x14ac:dyDescent="0.35">
      <c r="A27" t="s">
        <v>28</v>
      </c>
      <c r="B27" s="2">
        <v>420</v>
      </c>
      <c r="C27" s="2">
        <v>647</v>
      </c>
      <c r="D27" s="1">
        <v>0.35</v>
      </c>
      <c r="E27">
        <v>49</v>
      </c>
      <c r="F27" s="5">
        <v>4.5999999999999996</v>
      </c>
      <c r="G27" s="2">
        <f t="shared" si="0"/>
        <v>227</v>
      </c>
      <c r="H27" t="str">
        <f t="shared" si="1"/>
        <v>Budget</v>
      </c>
      <c r="I27" t="str">
        <f t="shared" si="2"/>
        <v>Medium</v>
      </c>
      <c r="J27" t="str" cm="1">
        <f t="array" ref="J27">_xlfn.IFS(F27="Not Rated", "Not Rated", F27&lt;3, "Poor", F27&lt;=4, "Average", F27&lt;=4.5, "Good", F27&gt;4.5, "Excellent")</f>
        <v>Excellent</v>
      </c>
    </row>
    <row r="28" spans="1:10" x14ac:dyDescent="0.35">
      <c r="A28" t="s">
        <v>29</v>
      </c>
      <c r="B28" s="2">
        <v>2880</v>
      </c>
      <c r="C28" s="2">
        <v>3520</v>
      </c>
      <c r="D28" s="1">
        <v>0.18</v>
      </c>
      <c r="E28">
        <v>12</v>
      </c>
      <c r="F28" s="5">
        <v>3.8</v>
      </c>
      <c r="G28" s="2">
        <f t="shared" si="0"/>
        <v>640</v>
      </c>
      <c r="H28" t="str">
        <f t="shared" si="1"/>
        <v>Premium</v>
      </c>
      <c r="I28" t="str">
        <f t="shared" si="2"/>
        <v xml:space="preserve">Low </v>
      </c>
      <c r="J28" t="str" cm="1">
        <f t="array" ref="J28">_xlfn.IFS(F28="Not Rated", "Not Rated", F28&lt;3, "Poor", F28&lt;=4, "Average", F28&lt;=4.5, "Good", F28&gt;4.5, "Excellent")</f>
        <v>Average</v>
      </c>
    </row>
    <row r="29" spans="1:10" x14ac:dyDescent="0.35">
      <c r="A29" t="s">
        <v>30</v>
      </c>
      <c r="B29" s="2">
        <v>1350</v>
      </c>
      <c r="C29" s="2">
        <v>1990</v>
      </c>
      <c r="D29" s="1">
        <v>0.32</v>
      </c>
      <c r="E29">
        <v>13</v>
      </c>
      <c r="F29" s="5">
        <v>3.8</v>
      </c>
      <c r="G29" s="2">
        <f t="shared" si="0"/>
        <v>640</v>
      </c>
      <c r="H29" t="str">
        <f t="shared" si="1"/>
        <v>Mid-Range</v>
      </c>
      <c r="I29" t="str">
        <f t="shared" si="2"/>
        <v>Medium</v>
      </c>
      <c r="J29" t="str" cm="1">
        <f t="array" ref="J29">_xlfn.IFS(F29="Not Rated", "Not Rated", F29&lt;3, "Poor", F29&lt;=4, "Average", F29&lt;=4.5, "Good", F29&gt;4.5, "Excellent")</f>
        <v>Average</v>
      </c>
    </row>
    <row r="30" spans="1:10" x14ac:dyDescent="0.35">
      <c r="A30" t="s">
        <v>31</v>
      </c>
      <c r="B30" s="2">
        <v>1758</v>
      </c>
      <c r="C30" s="2">
        <v>2499</v>
      </c>
      <c r="D30" s="1">
        <v>0.3</v>
      </c>
      <c r="E30">
        <v>20</v>
      </c>
      <c r="F30" s="5">
        <v>4.0999999999999996</v>
      </c>
      <c r="G30" s="2">
        <f t="shared" si="0"/>
        <v>741</v>
      </c>
      <c r="H30" t="str">
        <f t="shared" si="1"/>
        <v>Premium</v>
      </c>
      <c r="I30" t="str">
        <f t="shared" si="2"/>
        <v>Medium</v>
      </c>
      <c r="J30" t="str" cm="1">
        <f t="array" ref="J30">_xlfn.IFS(F30="Not Rated", "Not Rated", F30&lt;3, "Poor", F30&lt;=4, "Average", F30&lt;=4.5, "Good", F30&gt;4.5, "Excellent")</f>
        <v>Good</v>
      </c>
    </row>
    <row r="31" spans="1:10" x14ac:dyDescent="0.35">
      <c r="A31" t="s">
        <v>32</v>
      </c>
      <c r="B31" s="2">
        <v>2200</v>
      </c>
      <c r="C31" s="2">
        <v>4080</v>
      </c>
      <c r="D31" s="1">
        <v>0.46</v>
      </c>
      <c r="E31">
        <v>0</v>
      </c>
      <c r="F31" t="s">
        <v>115</v>
      </c>
      <c r="G31" s="2">
        <f t="shared" si="0"/>
        <v>1880</v>
      </c>
      <c r="H31" t="str">
        <f t="shared" si="1"/>
        <v>Premium</v>
      </c>
      <c r="I31" t="str">
        <f t="shared" si="2"/>
        <v>High</v>
      </c>
      <c r="J31" t="str" cm="1">
        <f t="array" ref="J31">_xlfn.IFS(F31="Not Rated", "Not Rated", F31&lt;3, "Poor", F31&lt;=4, "Average", F31&lt;=4.5, "Good", F31&gt;4.5, "Excellent")</f>
        <v>Not Rated</v>
      </c>
    </row>
    <row r="32" spans="1:10" x14ac:dyDescent="0.35">
      <c r="A32" t="s">
        <v>33</v>
      </c>
      <c r="B32" s="2">
        <v>185</v>
      </c>
      <c r="C32" s="2">
        <v>382</v>
      </c>
      <c r="D32" s="1">
        <v>0.52</v>
      </c>
      <c r="E32">
        <v>9</v>
      </c>
      <c r="F32" s="5">
        <v>4.3</v>
      </c>
      <c r="G32" s="2">
        <f t="shared" si="0"/>
        <v>197</v>
      </c>
      <c r="H32" t="str">
        <f t="shared" si="1"/>
        <v>Budget</v>
      </c>
      <c r="I32" t="str">
        <f t="shared" si="2"/>
        <v>High</v>
      </c>
      <c r="J32" t="str" cm="1">
        <f t="array" ref="J32">_xlfn.IFS(F32="Not Rated", "Not Rated", F32&lt;3, "Poor", F32&lt;=4, "Average", F32&lt;=4.5, "Good", F32&gt;4.5, "Excellent")</f>
        <v>Good</v>
      </c>
    </row>
    <row r="33" spans="1:10" x14ac:dyDescent="0.35">
      <c r="A33" t="s">
        <v>34</v>
      </c>
      <c r="B33" s="2">
        <v>980</v>
      </c>
      <c r="C33" s="2">
        <v>1490</v>
      </c>
      <c r="D33" s="1">
        <v>0.34</v>
      </c>
      <c r="E33">
        <v>12</v>
      </c>
      <c r="F33" s="5">
        <v>4.7</v>
      </c>
      <c r="G33" s="2">
        <f t="shared" si="0"/>
        <v>510</v>
      </c>
      <c r="H33" t="str">
        <f t="shared" si="1"/>
        <v>Mid-Range</v>
      </c>
      <c r="I33" t="str">
        <f t="shared" si="2"/>
        <v>Medium</v>
      </c>
      <c r="J33" t="str" cm="1">
        <f t="array" ref="J33">_xlfn.IFS(F33="Not Rated", "Not Rated", F33&lt;3, "Poor", F33&lt;=4, "Average", F33&lt;=4.5, "Good", F33&gt;4.5, "Excellent")</f>
        <v>Excellent</v>
      </c>
    </row>
    <row r="34" spans="1:10" x14ac:dyDescent="0.35">
      <c r="A34" t="s">
        <v>35</v>
      </c>
      <c r="B34" s="2">
        <v>1820</v>
      </c>
      <c r="C34" s="2">
        <v>3490</v>
      </c>
      <c r="D34" s="1">
        <v>0.48</v>
      </c>
      <c r="E34">
        <v>9</v>
      </c>
      <c r="F34" s="5">
        <v>4.3</v>
      </c>
      <c r="G34" s="2">
        <f t="shared" si="0"/>
        <v>1670</v>
      </c>
      <c r="H34" t="str">
        <f t="shared" si="1"/>
        <v>Premium</v>
      </c>
      <c r="I34" t="str">
        <f t="shared" si="2"/>
        <v>High</v>
      </c>
      <c r="J34" t="str" cm="1">
        <f t="array" ref="J34">_xlfn.IFS(F34="Not Rated", "Not Rated", F34&lt;3, "Poor", F34&lt;=4, "Average", F34&lt;=4.5, "Good", F34&gt;4.5, "Excellent")</f>
        <v>Good</v>
      </c>
    </row>
    <row r="35" spans="1:10" x14ac:dyDescent="0.35">
      <c r="A35" t="s">
        <v>36</v>
      </c>
      <c r="B35" s="2">
        <v>1940</v>
      </c>
      <c r="C35" s="2">
        <v>2650</v>
      </c>
      <c r="D35" s="1">
        <v>0.27</v>
      </c>
      <c r="E35">
        <v>20</v>
      </c>
      <c r="F35" s="5">
        <v>4.7</v>
      </c>
      <c r="G35" s="2">
        <f t="shared" si="0"/>
        <v>710</v>
      </c>
      <c r="H35" t="str">
        <f t="shared" si="1"/>
        <v>Premium</v>
      </c>
      <c r="I35" t="str">
        <f t="shared" si="2"/>
        <v>Medium</v>
      </c>
      <c r="J35" t="str" cm="1">
        <f t="array" ref="J35">_xlfn.IFS(F35="Not Rated", "Not Rated", F35&lt;3, "Poor", F35&lt;=4, "Average", F35&lt;=4.5, "Good", F35&gt;4.5, "Excellent")</f>
        <v>Excellent</v>
      </c>
    </row>
    <row r="36" spans="1:10" x14ac:dyDescent="0.35">
      <c r="A36" t="s">
        <v>37</v>
      </c>
      <c r="B36" s="2">
        <v>1980</v>
      </c>
      <c r="C36" s="2">
        <v>2699</v>
      </c>
      <c r="D36" s="1">
        <v>0.27</v>
      </c>
      <c r="E36">
        <v>32</v>
      </c>
      <c r="F36" s="5">
        <v>4.5</v>
      </c>
      <c r="G36" s="2">
        <f t="shared" si="0"/>
        <v>719</v>
      </c>
      <c r="H36" t="str">
        <f t="shared" si="1"/>
        <v>Premium</v>
      </c>
      <c r="I36" t="str">
        <f t="shared" si="2"/>
        <v>Medium</v>
      </c>
      <c r="J36" t="str" cm="1">
        <f t="array" ref="J36">_xlfn.IFS(F36="Not Rated", "Not Rated", F36&lt;3, "Poor", F36&lt;=4, "Average", F36&lt;=4.5, "Good", F36&gt;4.5, "Excellent")</f>
        <v>Good</v>
      </c>
    </row>
    <row r="37" spans="1:10" x14ac:dyDescent="0.35">
      <c r="A37" t="s">
        <v>38</v>
      </c>
      <c r="B37" s="2">
        <v>1620</v>
      </c>
      <c r="C37" s="2">
        <v>2690</v>
      </c>
      <c r="D37" s="1">
        <v>0.4</v>
      </c>
      <c r="E37">
        <v>1</v>
      </c>
      <c r="F37" s="5">
        <v>5</v>
      </c>
      <c r="G37" s="2">
        <f t="shared" si="0"/>
        <v>1070</v>
      </c>
      <c r="H37" t="str">
        <f t="shared" si="1"/>
        <v>Premium</v>
      </c>
      <c r="I37" t="str">
        <f t="shared" si="2"/>
        <v>Medium</v>
      </c>
      <c r="J37" t="str" cm="1">
        <f t="array" ref="J37">_xlfn.IFS(F37="Not Rated", "Not Rated", F37&lt;3, "Poor", F37&lt;=4, "Average", F37&lt;=4.5, "Good", F37&gt;4.5, "Excellent")</f>
        <v>Excellent</v>
      </c>
    </row>
    <row r="38" spans="1:10" x14ac:dyDescent="0.35">
      <c r="A38" t="s">
        <v>39</v>
      </c>
      <c r="B38" s="2">
        <v>171</v>
      </c>
      <c r="C38" s="2">
        <v>360</v>
      </c>
      <c r="D38" s="1">
        <v>0.53</v>
      </c>
      <c r="E38">
        <v>2</v>
      </c>
      <c r="F38" s="5">
        <v>5</v>
      </c>
      <c r="G38" s="2">
        <f t="shared" si="0"/>
        <v>189</v>
      </c>
      <c r="H38" t="str">
        <f t="shared" si="1"/>
        <v>Budget</v>
      </c>
      <c r="I38" t="str">
        <f t="shared" si="2"/>
        <v>High</v>
      </c>
      <c r="J38" t="str" cm="1">
        <f t="array" ref="J38">_xlfn.IFS(F38="Not Rated", "Not Rated", F38&lt;3, "Poor", F38&lt;=4, "Average", F38&lt;=4.5, "Good", F38&gt;4.5, "Excellent")</f>
        <v>Excellent</v>
      </c>
    </row>
    <row r="39" spans="1:10" x14ac:dyDescent="0.35">
      <c r="A39" t="s">
        <v>40</v>
      </c>
      <c r="B39" s="2">
        <v>389</v>
      </c>
      <c r="C39" s="2">
        <v>656</v>
      </c>
      <c r="D39" s="1">
        <v>0.41</v>
      </c>
      <c r="E39">
        <v>36</v>
      </c>
      <c r="F39" s="5">
        <v>4.3</v>
      </c>
      <c r="G39" s="2">
        <f t="shared" si="0"/>
        <v>267</v>
      </c>
      <c r="H39" t="str">
        <f t="shared" si="1"/>
        <v>Budget</v>
      </c>
      <c r="I39" t="str">
        <f t="shared" si="2"/>
        <v>High</v>
      </c>
      <c r="J39" t="str" cm="1">
        <f t="array" ref="J39">_xlfn.IFS(F39="Not Rated", "Not Rated", F39&lt;3, "Poor", F39&lt;=4, "Average", F39&lt;=4.5, "Good", F39&gt;4.5, "Excellent")</f>
        <v>Good</v>
      </c>
    </row>
    <row r="40" spans="1:10" x14ac:dyDescent="0.35">
      <c r="A40" t="s">
        <v>41</v>
      </c>
      <c r="B40" s="2">
        <v>1800</v>
      </c>
      <c r="C40" s="2">
        <v>2700</v>
      </c>
      <c r="D40" s="1">
        <v>0.38</v>
      </c>
      <c r="E40">
        <v>2</v>
      </c>
      <c r="F40" s="5">
        <v>4.5</v>
      </c>
      <c r="G40" s="2">
        <f t="shared" si="0"/>
        <v>900</v>
      </c>
      <c r="H40" t="str">
        <f t="shared" si="1"/>
        <v>Premium</v>
      </c>
      <c r="I40" t="str">
        <f t="shared" si="2"/>
        <v>Medium</v>
      </c>
      <c r="J40" t="str" cm="1">
        <f t="array" ref="J40">_xlfn.IFS(F40="Not Rated", "Not Rated", F40&lt;3, "Poor", F40&lt;=4, "Average", F40&lt;=4.5, "Good", F40&gt;4.5, "Excellent")</f>
        <v>Good</v>
      </c>
    </row>
    <row r="41" spans="1:10" x14ac:dyDescent="0.35">
      <c r="A41" t="s">
        <v>42</v>
      </c>
      <c r="B41" s="2">
        <v>2750</v>
      </c>
      <c r="C41" s="2">
        <v>4471</v>
      </c>
      <c r="D41" s="1">
        <v>0.38</v>
      </c>
      <c r="E41">
        <v>0</v>
      </c>
      <c r="F41" t="s">
        <v>115</v>
      </c>
      <c r="G41" s="2">
        <f t="shared" si="0"/>
        <v>1721</v>
      </c>
      <c r="H41" t="str">
        <f t="shared" si="1"/>
        <v>Premium</v>
      </c>
      <c r="I41" t="str">
        <f t="shared" si="2"/>
        <v>Medium</v>
      </c>
      <c r="J41" t="str" cm="1">
        <f t="array" ref="J41">_xlfn.IFS(F41="Not Rated", "Not Rated", F41&lt;3, "Poor", F41&lt;=4, "Average", F41&lt;=4.5, "Good", F41&gt;4.5, "Excellent")</f>
        <v>Not Rated</v>
      </c>
    </row>
    <row r="42" spans="1:10" x14ac:dyDescent="0.35">
      <c r="A42" t="s">
        <v>43</v>
      </c>
      <c r="B42" s="2">
        <v>475</v>
      </c>
      <c r="C42" s="2">
        <v>931</v>
      </c>
      <c r="D42" s="1">
        <v>0.49</v>
      </c>
      <c r="E42">
        <v>0</v>
      </c>
      <c r="F42" t="s">
        <v>115</v>
      </c>
      <c r="G42" s="2">
        <f t="shared" si="0"/>
        <v>456</v>
      </c>
      <c r="H42" t="str">
        <f t="shared" si="1"/>
        <v>Budget</v>
      </c>
      <c r="I42" t="str">
        <f t="shared" si="2"/>
        <v>High</v>
      </c>
      <c r="J42" t="str" cm="1">
        <f t="array" ref="J42">_xlfn.IFS(F42="Not Rated", "Not Rated", F42&lt;3, "Poor", F42&lt;=4, "Average", F42&lt;=4.5, "Good", F42&gt;4.5, "Excellent")</f>
        <v>Not Rated</v>
      </c>
    </row>
    <row r="43" spans="1:10" x14ac:dyDescent="0.35">
      <c r="A43" t="s">
        <v>44</v>
      </c>
      <c r="B43" s="2">
        <v>238</v>
      </c>
      <c r="C43" s="2">
        <v>476</v>
      </c>
      <c r="D43" s="1">
        <v>0.5</v>
      </c>
      <c r="E43">
        <v>0</v>
      </c>
      <c r="F43" t="s">
        <v>115</v>
      </c>
      <c r="G43" s="2">
        <f t="shared" si="0"/>
        <v>238</v>
      </c>
      <c r="H43" t="str">
        <f t="shared" si="1"/>
        <v>Budget</v>
      </c>
      <c r="I43" t="str">
        <f t="shared" si="2"/>
        <v>High</v>
      </c>
      <c r="J43" t="str" cm="1">
        <f t="array" ref="J43">_xlfn.IFS(F43="Not Rated", "Not Rated", F43&lt;3, "Poor", F43&lt;=4, "Average", F43&lt;=4.5, "Good", F43&gt;4.5, "Excellent")</f>
        <v>Not Rated</v>
      </c>
    </row>
    <row r="44" spans="1:10" x14ac:dyDescent="0.35">
      <c r="A44" t="s">
        <v>45</v>
      </c>
      <c r="B44" s="2">
        <v>610</v>
      </c>
      <c r="C44" s="2">
        <v>1060</v>
      </c>
      <c r="D44" s="1">
        <v>0.42</v>
      </c>
      <c r="E44">
        <v>0</v>
      </c>
      <c r="F44" t="s">
        <v>115</v>
      </c>
      <c r="G44" s="2">
        <f t="shared" si="0"/>
        <v>450</v>
      </c>
      <c r="H44" t="str">
        <f t="shared" si="1"/>
        <v>Mid-Range</v>
      </c>
      <c r="I44" t="str">
        <f t="shared" si="2"/>
        <v>High</v>
      </c>
      <c r="J44" t="str" cm="1">
        <f t="array" ref="J44">_xlfn.IFS(F44="Not Rated", "Not Rated", F44&lt;3, "Poor", F44&lt;=4, "Average", F44&lt;=4.5, "Good", F44&gt;4.5, "Excellent")</f>
        <v>Not Rated</v>
      </c>
    </row>
    <row r="45" spans="1:10" x14ac:dyDescent="0.35">
      <c r="A45" t="s">
        <v>46</v>
      </c>
      <c r="B45" s="2">
        <v>2132</v>
      </c>
      <c r="C45" s="2">
        <v>2169</v>
      </c>
      <c r="D45" s="1">
        <v>0.02</v>
      </c>
      <c r="E45">
        <v>0</v>
      </c>
      <c r="F45" t="s">
        <v>115</v>
      </c>
      <c r="G45" s="2">
        <f t="shared" si="0"/>
        <v>37</v>
      </c>
      <c r="H45" t="str">
        <f t="shared" si="1"/>
        <v>Premium</v>
      </c>
      <c r="I45" t="str">
        <f t="shared" si="2"/>
        <v xml:space="preserve">Low </v>
      </c>
      <c r="J45" t="str" cm="1">
        <f t="array" ref="J45">_xlfn.IFS(F45="Not Rated", "Not Rated", F45&lt;3, "Poor", F45&lt;=4, "Average", F45&lt;=4.5, "Good", F45&gt;4.5, "Excellent")</f>
        <v>Not Rated</v>
      </c>
    </row>
    <row r="46" spans="1:10" x14ac:dyDescent="0.35">
      <c r="A46" t="s">
        <v>47</v>
      </c>
      <c r="B46" s="2">
        <v>999</v>
      </c>
      <c r="C46" s="2">
        <v>2000</v>
      </c>
      <c r="D46" s="1">
        <v>0.5</v>
      </c>
      <c r="E46">
        <v>0</v>
      </c>
      <c r="F46" t="s">
        <v>115</v>
      </c>
      <c r="G46" s="2">
        <f t="shared" si="0"/>
        <v>1001</v>
      </c>
      <c r="H46" t="str">
        <f t="shared" si="1"/>
        <v>Mid-Range</v>
      </c>
      <c r="I46" t="str">
        <f t="shared" si="2"/>
        <v>High</v>
      </c>
      <c r="J46" t="str" cm="1">
        <f t="array" ref="J46">_xlfn.IFS(F46="Not Rated", "Not Rated", F46&lt;3, "Poor", F46&lt;=4, "Average", F46&lt;=4.5, "Good", F46&gt;4.5, "Excellent")</f>
        <v>Not Rated</v>
      </c>
    </row>
    <row r="47" spans="1:10" x14ac:dyDescent="0.35">
      <c r="A47" t="s">
        <v>48</v>
      </c>
      <c r="B47" s="2">
        <v>1190</v>
      </c>
      <c r="C47" s="2">
        <v>1785</v>
      </c>
      <c r="D47" s="1">
        <v>0.33</v>
      </c>
      <c r="E47">
        <v>0</v>
      </c>
      <c r="F47" t="s">
        <v>115</v>
      </c>
      <c r="G47" s="2">
        <f t="shared" si="0"/>
        <v>595</v>
      </c>
      <c r="H47" t="str">
        <f t="shared" si="1"/>
        <v>Mid-Range</v>
      </c>
      <c r="I47" t="str">
        <f t="shared" si="2"/>
        <v>Medium</v>
      </c>
      <c r="J47" t="str" cm="1">
        <f t="array" ref="J47">_xlfn.IFS(F47="Not Rated", "Not Rated", F47&lt;3, "Poor", F47&lt;=4, "Average", F47&lt;=4.5, "Good", F47&gt;4.5, "Excellent")</f>
        <v>Not Rated</v>
      </c>
    </row>
    <row r="48" spans="1:10" x14ac:dyDescent="0.35">
      <c r="A48" t="s">
        <v>49</v>
      </c>
      <c r="B48" s="2">
        <v>671</v>
      </c>
      <c r="C48" s="2">
        <v>1316</v>
      </c>
      <c r="D48" s="1">
        <v>0.49</v>
      </c>
      <c r="E48">
        <v>0</v>
      </c>
      <c r="F48" t="s">
        <v>115</v>
      </c>
      <c r="G48" s="2">
        <f t="shared" si="0"/>
        <v>645</v>
      </c>
      <c r="H48" t="str">
        <f t="shared" si="1"/>
        <v>Mid-Range</v>
      </c>
      <c r="I48" t="str">
        <f t="shared" si="2"/>
        <v>High</v>
      </c>
      <c r="J48" t="str" cm="1">
        <f t="array" ref="J48">_xlfn.IFS(F48="Not Rated", "Not Rated", F48&lt;3, "Poor", F48&lt;=4, "Average", F48&lt;=4.5, "Good", F48&gt;4.5, "Excellent")</f>
        <v>Not Rated</v>
      </c>
    </row>
    <row r="49" spans="1:10" x14ac:dyDescent="0.35">
      <c r="A49" t="s">
        <v>50</v>
      </c>
      <c r="B49" s="2">
        <v>1200</v>
      </c>
      <c r="C49" s="2">
        <v>1950</v>
      </c>
      <c r="D49" s="1">
        <v>0.38</v>
      </c>
      <c r="E49">
        <v>0</v>
      </c>
      <c r="F49" t="s">
        <v>115</v>
      </c>
      <c r="G49" s="2">
        <f t="shared" si="0"/>
        <v>750</v>
      </c>
      <c r="H49" t="str">
        <f t="shared" si="1"/>
        <v>Mid-Range</v>
      </c>
      <c r="I49" t="str">
        <f t="shared" si="2"/>
        <v>Medium</v>
      </c>
      <c r="J49" t="str" cm="1">
        <f t="array" ref="J49">_xlfn.IFS(F49="Not Rated", "Not Rated", F49&lt;3, "Poor", F49&lt;=4, "Average", F49&lt;=4.5, "Good", F49&gt;4.5, "Excellent")</f>
        <v>Not Rated</v>
      </c>
    </row>
    <row r="50" spans="1:10" x14ac:dyDescent="0.35">
      <c r="A50" t="s">
        <v>51</v>
      </c>
      <c r="B50" s="2">
        <v>199</v>
      </c>
      <c r="C50" s="2">
        <v>504</v>
      </c>
      <c r="D50" s="1">
        <v>0.61</v>
      </c>
      <c r="E50">
        <v>0</v>
      </c>
      <c r="F50" t="s">
        <v>115</v>
      </c>
      <c r="G50" s="2">
        <f t="shared" si="0"/>
        <v>305</v>
      </c>
      <c r="H50" t="str">
        <f t="shared" si="1"/>
        <v>Budget</v>
      </c>
      <c r="I50" t="str">
        <f t="shared" si="2"/>
        <v>High</v>
      </c>
      <c r="J50" t="str" cm="1">
        <f t="array" ref="J50">_xlfn.IFS(F50="Not Rated", "Not Rated", F50&lt;3, "Poor", F50&lt;=4, "Average", F50&lt;=4.5, "Good", F50&gt;4.5, "Excellent")</f>
        <v>Not Rated</v>
      </c>
    </row>
    <row r="51" spans="1:10" x14ac:dyDescent="0.35">
      <c r="A51" t="s">
        <v>52</v>
      </c>
      <c r="B51" s="2">
        <v>299</v>
      </c>
      <c r="C51" s="2">
        <v>600</v>
      </c>
      <c r="D51" s="1">
        <v>0.5</v>
      </c>
      <c r="E51">
        <v>0</v>
      </c>
      <c r="F51" t="s">
        <v>115</v>
      </c>
      <c r="G51" s="2">
        <f t="shared" si="0"/>
        <v>301</v>
      </c>
      <c r="H51" t="str">
        <f t="shared" si="1"/>
        <v>Budget</v>
      </c>
      <c r="I51" t="str">
        <f t="shared" si="2"/>
        <v>High</v>
      </c>
      <c r="J51" t="str" cm="1">
        <f t="array" ref="J51">_xlfn.IFS(F51="Not Rated", "Not Rated", F51&lt;3, "Poor", F51&lt;=4, "Average", F51&lt;=4.5, "Good", F51&gt;4.5, "Excellent")</f>
        <v>Not Rated</v>
      </c>
    </row>
    <row r="52" spans="1:10" x14ac:dyDescent="0.35">
      <c r="A52" t="s">
        <v>53</v>
      </c>
      <c r="B52" s="2">
        <v>1660</v>
      </c>
      <c r="C52" s="2">
        <v>1699</v>
      </c>
      <c r="D52" s="1">
        <v>0.02</v>
      </c>
      <c r="E52">
        <v>0</v>
      </c>
      <c r="F52" t="s">
        <v>115</v>
      </c>
      <c r="G52" s="2">
        <f t="shared" si="0"/>
        <v>39</v>
      </c>
      <c r="H52" t="str">
        <f t="shared" si="1"/>
        <v>Premium</v>
      </c>
      <c r="I52" t="str">
        <f t="shared" si="2"/>
        <v xml:space="preserve">Low </v>
      </c>
      <c r="J52" t="str" cm="1">
        <f t="array" ref="J52">_xlfn.IFS(F52="Not Rated", "Not Rated", F52&lt;3, "Poor", F52&lt;=4, "Average", F52&lt;=4.5, "Good", F52&gt;4.5, "Excellent")</f>
        <v>Not Rated</v>
      </c>
    </row>
    <row r="53" spans="1:10" x14ac:dyDescent="0.35">
      <c r="A53" t="s">
        <v>54</v>
      </c>
      <c r="B53" s="2">
        <v>299</v>
      </c>
      <c r="C53" s="2">
        <v>384</v>
      </c>
      <c r="D53" s="1">
        <v>0.22</v>
      </c>
      <c r="E53">
        <v>0</v>
      </c>
      <c r="F53" t="s">
        <v>115</v>
      </c>
      <c r="G53" s="2">
        <f t="shared" si="0"/>
        <v>85</v>
      </c>
      <c r="H53" t="str">
        <f t="shared" si="1"/>
        <v>Budget</v>
      </c>
      <c r="I53" t="str">
        <f t="shared" si="2"/>
        <v>Medium</v>
      </c>
      <c r="J53" t="str" cm="1">
        <f t="array" ref="J53">_xlfn.IFS(F53="Not Rated", "Not Rated", F53&lt;3, "Poor", F53&lt;=4, "Average", F53&lt;=4.5, "Good", F53&gt;4.5, "Excellent")</f>
        <v>Not Rated</v>
      </c>
    </row>
    <row r="54" spans="1:10" x14ac:dyDescent="0.35">
      <c r="A54" t="s">
        <v>55</v>
      </c>
      <c r="B54" s="2">
        <v>1459</v>
      </c>
      <c r="C54" s="2">
        <v>1499</v>
      </c>
      <c r="D54" s="1">
        <v>0.03</v>
      </c>
      <c r="E54">
        <v>0</v>
      </c>
      <c r="F54" t="s">
        <v>115</v>
      </c>
      <c r="G54" s="2">
        <f t="shared" si="0"/>
        <v>40</v>
      </c>
      <c r="H54" t="str">
        <f t="shared" si="1"/>
        <v>Mid-Range</v>
      </c>
      <c r="I54" t="str">
        <f t="shared" si="2"/>
        <v xml:space="preserve">Low </v>
      </c>
      <c r="J54" t="str" cm="1">
        <f t="array" ref="J54">_xlfn.IFS(F54="Not Rated", "Not Rated", F54&lt;3, "Poor", F54&lt;=4, "Average", F54&lt;=4.5, "Good", F54&gt;4.5, "Excellent")</f>
        <v>Not Rated</v>
      </c>
    </row>
    <row r="55" spans="1:10" x14ac:dyDescent="0.35">
      <c r="A55" t="s">
        <v>56</v>
      </c>
      <c r="B55" s="2">
        <v>799</v>
      </c>
      <c r="C55" s="2">
        <v>1343</v>
      </c>
      <c r="D55" s="1">
        <v>0.41</v>
      </c>
      <c r="E55">
        <v>0</v>
      </c>
      <c r="F55" t="s">
        <v>115</v>
      </c>
      <c r="G55" s="2">
        <f t="shared" si="0"/>
        <v>544</v>
      </c>
      <c r="H55" t="str">
        <f t="shared" si="1"/>
        <v>Mid-Range</v>
      </c>
      <c r="I55" t="str">
        <f t="shared" si="2"/>
        <v>High</v>
      </c>
      <c r="J55" t="str" cm="1">
        <f t="array" ref="J55">_xlfn.IFS(F55="Not Rated", "Not Rated", F55&lt;3, "Poor", F55&lt;=4, "Average", F55&lt;=4.5, "Good", F55&gt;4.5, "Excellent")</f>
        <v>Not Rated</v>
      </c>
    </row>
    <row r="56" spans="1:10" x14ac:dyDescent="0.35">
      <c r="A56" t="s">
        <v>57</v>
      </c>
      <c r="B56" s="2">
        <v>499</v>
      </c>
      <c r="C56" s="2">
        <v>900</v>
      </c>
      <c r="D56" s="1">
        <v>0.45</v>
      </c>
      <c r="E56">
        <v>0</v>
      </c>
      <c r="F56" t="s">
        <v>115</v>
      </c>
      <c r="G56" s="2">
        <f t="shared" si="0"/>
        <v>401</v>
      </c>
      <c r="H56" t="str">
        <f t="shared" si="1"/>
        <v>Budget</v>
      </c>
      <c r="I56" t="str">
        <f t="shared" si="2"/>
        <v>High</v>
      </c>
      <c r="J56" t="str" cm="1">
        <f t="array" ref="J56">_xlfn.IFS(F56="Not Rated", "Not Rated", F56&lt;3, "Poor", F56&lt;=4, "Average", F56&lt;=4.5, "Good", F56&gt;4.5, "Excellent")</f>
        <v>Not Rated</v>
      </c>
    </row>
    <row r="57" spans="1:10" x14ac:dyDescent="0.35">
      <c r="A57" t="s">
        <v>58</v>
      </c>
      <c r="B57" s="2">
        <v>699</v>
      </c>
      <c r="C57" s="2">
        <v>1343</v>
      </c>
      <c r="D57" s="1">
        <v>0.48</v>
      </c>
      <c r="E57">
        <v>0</v>
      </c>
      <c r="F57" t="s">
        <v>115</v>
      </c>
      <c r="G57" s="2">
        <f t="shared" si="0"/>
        <v>644</v>
      </c>
      <c r="H57" t="str">
        <f t="shared" si="1"/>
        <v>Mid-Range</v>
      </c>
      <c r="I57" t="str">
        <f t="shared" si="2"/>
        <v>High</v>
      </c>
      <c r="J57" t="str" cm="1">
        <f t="array" ref="J57">_xlfn.IFS(F57="Not Rated", "Not Rated", F57&lt;3, "Poor", F57&lt;=4, "Average", F57&lt;=4.5, "Good", F57&gt;4.5, "Excellent")</f>
        <v>Not Rated</v>
      </c>
    </row>
    <row r="58" spans="1:10" x14ac:dyDescent="0.35">
      <c r="A58" t="s">
        <v>59</v>
      </c>
      <c r="B58" s="2">
        <v>799</v>
      </c>
      <c r="C58" s="2">
        <v>1567</v>
      </c>
      <c r="D58" s="1">
        <v>0.49</v>
      </c>
      <c r="E58">
        <v>0</v>
      </c>
      <c r="F58" t="s">
        <v>115</v>
      </c>
      <c r="G58" s="2">
        <f t="shared" si="0"/>
        <v>768</v>
      </c>
      <c r="H58" t="str">
        <f t="shared" si="1"/>
        <v>Mid-Range</v>
      </c>
      <c r="I58" t="str">
        <f t="shared" si="2"/>
        <v>High</v>
      </c>
      <c r="J58" t="str" cm="1">
        <f t="array" ref="J58">_xlfn.IFS(F58="Not Rated", "Not Rated", F58&lt;3, "Poor", F58&lt;=4, "Average", F58&lt;=4.5, "Good", F58&gt;4.5, "Excellent")</f>
        <v>Not Rated</v>
      </c>
    </row>
    <row r="59" spans="1:10" x14ac:dyDescent="0.35">
      <c r="A59" t="s">
        <v>60</v>
      </c>
      <c r="B59" s="2">
        <v>2799</v>
      </c>
      <c r="C59" s="2">
        <v>3810</v>
      </c>
      <c r="D59" s="1">
        <v>0.27</v>
      </c>
      <c r="E59">
        <v>0</v>
      </c>
      <c r="F59" t="s">
        <v>115</v>
      </c>
      <c r="G59" s="2">
        <f t="shared" si="0"/>
        <v>1011</v>
      </c>
      <c r="H59" t="str">
        <f t="shared" si="1"/>
        <v>Premium</v>
      </c>
      <c r="I59" t="str">
        <f t="shared" si="2"/>
        <v>Medium</v>
      </c>
      <c r="J59" t="str" cm="1">
        <f t="array" ref="J59">_xlfn.IFS(F59="Not Rated", "Not Rated", F59&lt;3, "Poor", F59&lt;=4, "Average", F59&lt;=4.5, "Good", F59&gt;4.5, "Excellent")</f>
        <v>Not Rated</v>
      </c>
    </row>
    <row r="60" spans="1:10" x14ac:dyDescent="0.35">
      <c r="A60" t="s">
        <v>57</v>
      </c>
      <c r="B60" s="2">
        <v>399</v>
      </c>
      <c r="C60" s="2">
        <v>896</v>
      </c>
      <c r="D60" s="1">
        <v>0.55000000000000004</v>
      </c>
      <c r="E60">
        <v>0</v>
      </c>
      <c r="F60" t="s">
        <v>115</v>
      </c>
      <c r="G60" s="2">
        <f t="shared" si="0"/>
        <v>497</v>
      </c>
      <c r="H60" t="str">
        <f t="shared" si="1"/>
        <v>Budget</v>
      </c>
      <c r="I60" t="str">
        <f t="shared" si="2"/>
        <v>High</v>
      </c>
      <c r="J60" t="str" cm="1">
        <f t="array" ref="J60">_xlfn.IFS(F60="Not Rated", "Not Rated", F60&lt;3, "Poor", F60&lt;=4, "Average", F60&lt;=4.5, "Good", F60&gt;4.5, "Excellent")</f>
        <v>Not Rated</v>
      </c>
    </row>
    <row r="61" spans="1:10" x14ac:dyDescent="0.35">
      <c r="A61" t="s">
        <v>61</v>
      </c>
      <c r="B61" s="2">
        <v>2170</v>
      </c>
      <c r="C61" s="2">
        <v>2500</v>
      </c>
      <c r="D61" s="1">
        <v>0.13</v>
      </c>
      <c r="E61">
        <v>6</v>
      </c>
      <c r="F61" s="5">
        <v>2.5</v>
      </c>
      <c r="G61" s="2">
        <f t="shared" si="0"/>
        <v>330</v>
      </c>
      <c r="H61" t="str">
        <f t="shared" si="1"/>
        <v>Premium</v>
      </c>
      <c r="I61" t="str">
        <f t="shared" si="2"/>
        <v xml:space="preserve">Low </v>
      </c>
      <c r="J61" t="str" cm="1">
        <f t="array" ref="J61">_xlfn.IFS(F61="Not Rated", "Not Rated", F61&lt;3, "Poor", F61&lt;=4, "Average", F61&lt;=4.5, "Good", F61&gt;4.5, "Excellent")</f>
        <v>Poor</v>
      </c>
    </row>
    <row r="62" spans="1:10" x14ac:dyDescent="0.35">
      <c r="A62" t="s">
        <v>62</v>
      </c>
      <c r="B62" s="2">
        <v>458</v>
      </c>
      <c r="C62" s="2">
        <v>986</v>
      </c>
      <c r="D62" s="1">
        <v>0.54</v>
      </c>
      <c r="E62">
        <v>10</v>
      </c>
      <c r="F62" s="5">
        <v>3</v>
      </c>
      <c r="G62" s="2">
        <f t="shared" si="0"/>
        <v>528</v>
      </c>
      <c r="H62" t="str">
        <f t="shared" si="1"/>
        <v>Budget</v>
      </c>
      <c r="I62" t="str">
        <f t="shared" si="2"/>
        <v>High</v>
      </c>
      <c r="J62" t="str" cm="1">
        <f t="array" ref="J62">_xlfn.IFS(F62="Not Rated", "Not Rated", F62&lt;3, "Poor", F62&lt;=4, "Average", F62&lt;=4.5, "Good", F62&gt;4.5, "Excellent")</f>
        <v>Average</v>
      </c>
    </row>
    <row r="63" spans="1:10" x14ac:dyDescent="0.35">
      <c r="A63" t="s">
        <v>63</v>
      </c>
      <c r="B63" s="2">
        <v>2115</v>
      </c>
      <c r="C63" s="2">
        <v>4700</v>
      </c>
      <c r="D63" s="1">
        <v>0.55000000000000004</v>
      </c>
      <c r="E63">
        <v>13</v>
      </c>
      <c r="F63" s="5">
        <v>2.1</v>
      </c>
      <c r="G63" s="2">
        <f t="shared" si="0"/>
        <v>2585</v>
      </c>
      <c r="H63" t="str">
        <f t="shared" si="1"/>
        <v>Premium</v>
      </c>
      <c r="I63" t="str">
        <f t="shared" si="2"/>
        <v>High</v>
      </c>
      <c r="J63" t="str" cm="1">
        <f t="array" ref="J63">_xlfn.IFS(F63="Not Rated", "Not Rated", F63&lt;3, "Poor", F63&lt;=4, "Average", F63&lt;=4.5, "Good", F63&gt;4.5, "Excellent")</f>
        <v>Poor</v>
      </c>
    </row>
    <row r="64" spans="1:10" x14ac:dyDescent="0.35">
      <c r="A64" t="s">
        <v>64</v>
      </c>
      <c r="B64" s="2">
        <v>445</v>
      </c>
      <c r="C64" s="2">
        <v>873</v>
      </c>
      <c r="D64" s="1">
        <v>0.49</v>
      </c>
      <c r="E64">
        <v>69</v>
      </c>
      <c r="F64" s="5">
        <v>2.8</v>
      </c>
      <c r="G64" s="2">
        <f t="shared" si="0"/>
        <v>428</v>
      </c>
      <c r="H64" t="str">
        <f t="shared" si="1"/>
        <v>Budget</v>
      </c>
      <c r="I64" t="str">
        <f t="shared" si="2"/>
        <v>High</v>
      </c>
      <c r="J64" t="str" cm="1">
        <f t="array" ref="J64">_xlfn.IFS(F64="Not Rated", "Not Rated", F64&lt;3, "Poor", F64&lt;=4, "Average", F64&lt;=4.5, "Good", F64&gt;4.5, "Excellent")</f>
        <v>Poor</v>
      </c>
    </row>
    <row r="65" spans="1:10" x14ac:dyDescent="0.35">
      <c r="A65" t="s">
        <v>65</v>
      </c>
      <c r="B65" s="2">
        <v>325</v>
      </c>
      <c r="C65" s="2">
        <v>680</v>
      </c>
      <c r="D65" s="1">
        <v>0.52</v>
      </c>
      <c r="E65">
        <v>15</v>
      </c>
      <c r="F65" s="5">
        <v>2.7</v>
      </c>
      <c r="G65" s="2">
        <f t="shared" si="0"/>
        <v>355</v>
      </c>
      <c r="H65" t="str">
        <f t="shared" si="1"/>
        <v>Budget</v>
      </c>
      <c r="I65" t="str">
        <f t="shared" si="2"/>
        <v>High</v>
      </c>
      <c r="J65" t="str" cm="1">
        <f t="array" ref="J65">_xlfn.IFS(F65="Not Rated", "Not Rated", F65&lt;3, "Poor", F65&lt;=4, "Average", F65&lt;=4.5, "Good", F65&gt;4.5, "Excellent")</f>
        <v>Poor</v>
      </c>
    </row>
    <row r="66" spans="1:10" x14ac:dyDescent="0.35">
      <c r="A66" t="s">
        <v>66</v>
      </c>
      <c r="B66" s="2">
        <v>1220</v>
      </c>
      <c r="C66" s="2">
        <v>1555</v>
      </c>
      <c r="D66" s="1">
        <v>0.22</v>
      </c>
      <c r="E66">
        <v>16</v>
      </c>
      <c r="F66" s="5">
        <v>2.9</v>
      </c>
      <c r="G66" s="2">
        <f t="shared" si="0"/>
        <v>335</v>
      </c>
      <c r="H66" t="str">
        <f t="shared" si="1"/>
        <v>Mid-Range</v>
      </c>
      <c r="I66" t="str">
        <f t="shared" si="2"/>
        <v>Medium</v>
      </c>
      <c r="J66" t="str" cm="1">
        <f t="array" ref="J66">_xlfn.IFS(F66="Not Rated", "Not Rated", F66&lt;3, "Poor", F66&lt;=4, "Average", F66&lt;=4.5, "Good", F66&gt;4.5, "Excellent")</f>
        <v>Poor</v>
      </c>
    </row>
    <row r="67" spans="1:10" x14ac:dyDescent="0.35">
      <c r="A67" t="s">
        <v>67</v>
      </c>
      <c r="B67" s="2">
        <v>990</v>
      </c>
      <c r="C67" s="2">
        <v>1814</v>
      </c>
      <c r="D67" s="1">
        <v>0.45</v>
      </c>
      <c r="E67">
        <v>6</v>
      </c>
      <c r="F67" s="5">
        <v>2.2000000000000002</v>
      </c>
      <c r="G67" s="2">
        <f t="shared" ref="G67:G113" si="3">C67-B67</f>
        <v>824</v>
      </c>
      <c r="H67" t="str">
        <f t="shared" ref="H67:H113" si="4">IF(B67&lt;=500, "Budget", IF(B67&lt;=1500, "Mid-Range", "Premium"))</f>
        <v>Mid-Range</v>
      </c>
      <c r="I67" t="str">
        <f t="shared" ref="I67:I113" si="5">IF(D67&lt;0.2, "Low ", IF(D67&lt;=0.4, "Medium", "High"))</f>
        <v>High</v>
      </c>
      <c r="J67" t="str" cm="1">
        <f t="array" ref="J67">_xlfn.IFS(F67="Not Rated", "Not Rated", F67&lt;3, "Poor", F67&lt;=4, "Average", F67&lt;=4.5, "Good", F67&gt;4.5, "Excellent")</f>
        <v>Poor</v>
      </c>
    </row>
    <row r="68" spans="1:10" x14ac:dyDescent="0.35">
      <c r="A68" t="s">
        <v>68</v>
      </c>
      <c r="B68" s="2">
        <v>1000</v>
      </c>
      <c r="C68" s="2">
        <v>2000</v>
      </c>
      <c r="D68" s="1">
        <v>0.5</v>
      </c>
      <c r="E68">
        <v>7</v>
      </c>
      <c r="F68" s="5">
        <v>2.2999999999999998</v>
      </c>
      <c r="G68" s="2">
        <f t="shared" si="3"/>
        <v>1000</v>
      </c>
      <c r="H68" t="str">
        <f t="shared" si="4"/>
        <v>Mid-Range</v>
      </c>
      <c r="I68" t="str">
        <f t="shared" si="5"/>
        <v>High</v>
      </c>
      <c r="J68" t="str" cm="1">
        <f t="array" ref="J68">_xlfn.IFS(F68="Not Rated", "Not Rated", F68&lt;3, "Poor", F68&lt;=4, "Average", F68&lt;=4.5, "Good", F68&gt;4.5, "Excellent")</f>
        <v>Poor</v>
      </c>
    </row>
    <row r="69" spans="1:10" x14ac:dyDescent="0.35">
      <c r="A69" t="s">
        <v>69</v>
      </c>
      <c r="B69" s="2">
        <v>3750</v>
      </c>
      <c r="C69" s="2">
        <v>6143</v>
      </c>
      <c r="D69" s="1">
        <v>0.39</v>
      </c>
      <c r="E69">
        <v>5</v>
      </c>
      <c r="F69" s="5">
        <v>3</v>
      </c>
      <c r="G69" s="2">
        <f t="shared" si="3"/>
        <v>2393</v>
      </c>
      <c r="H69" t="str">
        <f t="shared" si="4"/>
        <v>Premium</v>
      </c>
      <c r="I69" t="str">
        <f t="shared" si="5"/>
        <v>Medium</v>
      </c>
      <c r="J69" t="str" cm="1">
        <f t="array" ref="J69">_xlfn.IFS(F69="Not Rated", "Not Rated", F69&lt;3, "Poor", F69&lt;=4, "Average", F69&lt;=4.5, "Good", F69&gt;4.5, "Excellent")</f>
        <v>Average</v>
      </c>
    </row>
    <row r="70" spans="1:10" x14ac:dyDescent="0.35">
      <c r="A70" t="s">
        <v>70</v>
      </c>
      <c r="B70" s="2">
        <v>382</v>
      </c>
      <c r="C70" s="2">
        <v>700</v>
      </c>
      <c r="D70" s="1">
        <v>0.45</v>
      </c>
      <c r="E70">
        <v>17</v>
      </c>
      <c r="F70" s="5">
        <v>2.6</v>
      </c>
      <c r="G70" s="2">
        <f t="shared" si="3"/>
        <v>318</v>
      </c>
      <c r="H70" t="str">
        <f t="shared" si="4"/>
        <v>Budget</v>
      </c>
      <c r="I70" t="str">
        <f t="shared" si="5"/>
        <v>High</v>
      </c>
      <c r="J70" t="str" cm="1">
        <f t="array" ref="J70">_xlfn.IFS(F70="Not Rated", "Not Rated", F70&lt;3, "Poor", F70&lt;=4, "Average", F70&lt;=4.5, "Good", F70&gt;4.5, "Excellent")</f>
        <v>Poor</v>
      </c>
    </row>
    <row r="71" spans="1:10" x14ac:dyDescent="0.35">
      <c r="A71" t="s">
        <v>71</v>
      </c>
      <c r="B71" s="2">
        <v>2300</v>
      </c>
      <c r="C71" s="2">
        <v>3240</v>
      </c>
      <c r="D71" s="1">
        <v>0.28999999999999998</v>
      </c>
      <c r="E71">
        <v>5</v>
      </c>
      <c r="F71" s="5">
        <v>3</v>
      </c>
      <c r="G71" s="2">
        <f t="shared" si="3"/>
        <v>940</v>
      </c>
      <c r="H71" t="str">
        <f t="shared" si="4"/>
        <v>Premium</v>
      </c>
      <c r="I71" t="str">
        <f t="shared" si="5"/>
        <v>Medium</v>
      </c>
      <c r="J71" t="str" cm="1">
        <f t="array" ref="J71">_xlfn.IFS(F71="Not Rated", "Not Rated", F71&lt;3, "Poor", F71&lt;=4, "Average", F71&lt;=4.5, "Good", F71&gt;4.5, "Excellent")</f>
        <v>Average</v>
      </c>
    </row>
    <row r="72" spans="1:10" x14ac:dyDescent="0.35">
      <c r="A72" t="s">
        <v>72</v>
      </c>
      <c r="B72" s="2">
        <v>345</v>
      </c>
      <c r="C72" s="2">
        <v>602</v>
      </c>
      <c r="D72" s="1">
        <v>0.43</v>
      </c>
      <c r="E72">
        <v>6</v>
      </c>
      <c r="F72" s="5">
        <v>2.2999999999999998</v>
      </c>
      <c r="G72" s="2">
        <f t="shared" si="3"/>
        <v>257</v>
      </c>
      <c r="H72" t="str">
        <f t="shared" si="4"/>
        <v>Budget</v>
      </c>
      <c r="I72" t="str">
        <f t="shared" si="5"/>
        <v>High</v>
      </c>
      <c r="J72" t="str" cm="1">
        <f t="array" ref="J72">_xlfn.IFS(F72="Not Rated", "Not Rated", F72&lt;3, "Poor", F72&lt;=4, "Average", F72&lt;=4.5, "Good", F72&gt;4.5, "Excellent")</f>
        <v>Poor</v>
      </c>
    </row>
    <row r="73" spans="1:10" x14ac:dyDescent="0.35">
      <c r="A73" t="s">
        <v>73</v>
      </c>
      <c r="B73" s="2">
        <v>509</v>
      </c>
      <c r="C73" s="2">
        <v>899</v>
      </c>
      <c r="D73" s="1">
        <v>0.43</v>
      </c>
      <c r="E73">
        <v>5</v>
      </c>
      <c r="F73" s="5">
        <v>3</v>
      </c>
      <c r="G73" s="2">
        <f t="shared" si="3"/>
        <v>390</v>
      </c>
      <c r="H73" t="str">
        <f t="shared" si="4"/>
        <v>Mid-Range</v>
      </c>
      <c r="I73" t="str">
        <f t="shared" si="5"/>
        <v>High</v>
      </c>
      <c r="J73" t="str" cm="1">
        <f t="array" ref="J73">_xlfn.IFS(F73="Not Rated", "Not Rated", F73&lt;3, "Poor", F73&lt;=4, "Average", F73&lt;=4.5, "Good", F73&gt;4.5, "Excellent")</f>
        <v>Average</v>
      </c>
    </row>
    <row r="74" spans="1:10" x14ac:dyDescent="0.35">
      <c r="A74" t="s">
        <v>74</v>
      </c>
      <c r="B74" s="2">
        <v>968</v>
      </c>
      <c r="C74" s="2">
        <v>1814</v>
      </c>
      <c r="D74" s="1">
        <v>0.47</v>
      </c>
      <c r="E74">
        <v>6</v>
      </c>
      <c r="F74" s="5">
        <v>2.2000000000000002</v>
      </c>
      <c r="G74" s="2">
        <f t="shared" si="3"/>
        <v>846</v>
      </c>
      <c r="H74" t="str">
        <f t="shared" si="4"/>
        <v>Mid-Range</v>
      </c>
      <c r="I74" t="str">
        <f t="shared" si="5"/>
        <v>High</v>
      </c>
      <c r="J74" t="str" cm="1">
        <f t="array" ref="J74">_xlfn.IFS(F74="Not Rated", "Not Rated", F74&lt;3, "Poor", F74&lt;=4, "Average", F74&lt;=4.5, "Good", F74&gt;4.5, "Excellent")</f>
        <v>Poor</v>
      </c>
    </row>
    <row r="75" spans="1:10" x14ac:dyDescent="0.35">
      <c r="A75" t="s">
        <v>75</v>
      </c>
      <c r="B75" s="2">
        <v>1570</v>
      </c>
      <c r="C75" s="2">
        <v>2988</v>
      </c>
      <c r="D75" s="1">
        <v>0.47</v>
      </c>
      <c r="E75">
        <v>7</v>
      </c>
      <c r="F75" s="5">
        <v>2.1</v>
      </c>
      <c r="G75" s="2">
        <f t="shared" si="3"/>
        <v>1418</v>
      </c>
      <c r="H75" t="str">
        <f t="shared" si="4"/>
        <v>Premium</v>
      </c>
      <c r="I75" t="str">
        <f t="shared" si="5"/>
        <v>High</v>
      </c>
      <c r="J75" t="str" cm="1">
        <f t="array" ref="J75">_xlfn.IFS(F75="Not Rated", "Not Rated", F75&lt;3, "Poor", F75&lt;=4, "Average", F75&lt;=4.5, "Good", F75&gt;4.5, "Excellent")</f>
        <v>Poor</v>
      </c>
    </row>
    <row r="76" spans="1:10" x14ac:dyDescent="0.35">
      <c r="A76" t="s">
        <v>76</v>
      </c>
      <c r="B76" s="2">
        <v>790</v>
      </c>
      <c r="C76" s="2">
        <v>1485</v>
      </c>
      <c r="D76" s="1">
        <v>0.47</v>
      </c>
      <c r="E76">
        <v>0</v>
      </c>
      <c r="F76" t="s">
        <v>115</v>
      </c>
      <c r="G76" s="2">
        <f t="shared" si="3"/>
        <v>695</v>
      </c>
      <c r="H76" t="str">
        <f t="shared" si="4"/>
        <v>Mid-Range</v>
      </c>
      <c r="I76" t="str">
        <f t="shared" si="5"/>
        <v>High</v>
      </c>
      <c r="J76" t="str" cm="1">
        <f t="array" ref="J76">_xlfn.IFS(F76="Not Rated", "Not Rated", F76&lt;3, "Poor", F76&lt;=4, "Average", F76&lt;=4.5, "Good", F76&gt;4.5, "Excellent")</f>
        <v>Not Rated</v>
      </c>
    </row>
    <row r="77" spans="1:10" x14ac:dyDescent="0.35">
      <c r="A77" t="s">
        <v>77</v>
      </c>
      <c r="B77" s="2">
        <v>690</v>
      </c>
      <c r="C77" s="2">
        <v>1200</v>
      </c>
      <c r="D77" s="1">
        <v>0.43</v>
      </c>
      <c r="E77">
        <v>0</v>
      </c>
      <c r="F77" t="s">
        <v>115</v>
      </c>
      <c r="G77" s="2">
        <f t="shared" si="3"/>
        <v>510</v>
      </c>
      <c r="H77" t="str">
        <f t="shared" si="4"/>
        <v>Mid-Range</v>
      </c>
      <c r="I77" t="str">
        <f t="shared" si="5"/>
        <v>High</v>
      </c>
      <c r="J77" t="str" cm="1">
        <f t="array" ref="J77">_xlfn.IFS(F77="Not Rated", "Not Rated", F77&lt;3, "Poor", F77&lt;=4, "Average", F77&lt;=4.5, "Good", F77&gt;4.5, "Excellent")</f>
        <v>Not Rated</v>
      </c>
    </row>
    <row r="78" spans="1:10" x14ac:dyDescent="0.35">
      <c r="A78" t="s">
        <v>78</v>
      </c>
      <c r="B78" s="2">
        <v>1732</v>
      </c>
      <c r="C78" s="2">
        <v>1799</v>
      </c>
      <c r="D78" s="1">
        <v>0.04</v>
      </c>
      <c r="E78">
        <v>0</v>
      </c>
      <c r="F78" t="s">
        <v>115</v>
      </c>
      <c r="G78" s="2">
        <f t="shared" si="3"/>
        <v>67</v>
      </c>
      <c r="H78" t="str">
        <f t="shared" si="4"/>
        <v>Premium</v>
      </c>
      <c r="I78" t="str">
        <f t="shared" si="5"/>
        <v xml:space="preserve">Low </v>
      </c>
      <c r="J78" t="str" cm="1">
        <f t="array" ref="J78">_xlfn.IFS(F78="Not Rated", "Not Rated", F78&lt;3, "Poor", F78&lt;=4, "Average", F78&lt;=4.5, "Good", F78&gt;4.5, "Excellent")</f>
        <v>Not Rated</v>
      </c>
    </row>
    <row r="79" spans="1:10" x14ac:dyDescent="0.35">
      <c r="A79" t="s">
        <v>79</v>
      </c>
      <c r="B79" s="2">
        <v>230</v>
      </c>
      <c r="C79" s="2">
        <v>450</v>
      </c>
      <c r="D79" s="1">
        <v>0.49</v>
      </c>
      <c r="E79">
        <v>0</v>
      </c>
      <c r="F79" t="s">
        <v>115</v>
      </c>
      <c r="G79" s="2">
        <f t="shared" si="3"/>
        <v>220</v>
      </c>
      <c r="H79" t="str">
        <f t="shared" si="4"/>
        <v>Budget</v>
      </c>
      <c r="I79" t="str">
        <f t="shared" si="5"/>
        <v>High</v>
      </c>
      <c r="J79" t="str" cm="1">
        <f t="array" ref="J79">_xlfn.IFS(F79="Not Rated", "Not Rated", F79&lt;3, "Poor", F79&lt;=4, "Average", F79&lt;=4.5, "Good", F79&gt;4.5, "Excellent")</f>
        <v>Not Rated</v>
      </c>
    </row>
    <row r="80" spans="1:10" x14ac:dyDescent="0.35">
      <c r="A80" t="s">
        <v>80</v>
      </c>
      <c r="B80" s="2">
        <v>1189</v>
      </c>
      <c r="C80" s="2">
        <v>2199</v>
      </c>
      <c r="D80" s="1">
        <v>0.46</v>
      </c>
      <c r="E80">
        <v>1</v>
      </c>
      <c r="F80" s="5">
        <v>3</v>
      </c>
      <c r="G80" s="2">
        <f t="shared" si="3"/>
        <v>1010</v>
      </c>
      <c r="H80" t="str">
        <f t="shared" si="4"/>
        <v>Mid-Range</v>
      </c>
      <c r="I80" t="str">
        <f t="shared" si="5"/>
        <v>High</v>
      </c>
      <c r="J80" t="str" cm="1">
        <f t="array" ref="J80">_xlfn.IFS(F80="Not Rated", "Not Rated", F80&lt;3, "Poor", F80&lt;=4, "Average", F80&lt;=4.5, "Good", F80&gt;4.5, "Excellent")</f>
        <v>Average</v>
      </c>
    </row>
    <row r="81" spans="1:10" x14ac:dyDescent="0.35">
      <c r="A81" t="s">
        <v>81</v>
      </c>
      <c r="B81" s="2">
        <v>979</v>
      </c>
      <c r="C81" s="2">
        <v>1920</v>
      </c>
      <c r="D81" s="1">
        <v>0.49</v>
      </c>
      <c r="E81">
        <v>1</v>
      </c>
      <c r="F81" s="5">
        <v>5</v>
      </c>
      <c r="G81" s="2">
        <f t="shared" si="3"/>
        <v>941</v>
      </c>
      <c r="H81" t="str">
        <f t="shared" si="4"/>
        <v>Mid-Range</v>
      </c>
      <c r="I81" t="str">
        <f t="shared" si="5"/>
        <v>High</v>
      </c>
      <c r="J81" t="str" cm="1">
        <f t="array" ref="J81">_xlfn.IFS(F81="Not Rated", "Not Rated", F81&lt;3, "Poor", F81&lt;=4, "Average", F81&lt;=4.5, "Good", F81&gt;4.5, "Excellent")</f>
        <v>Excellent</v>
      </c>
    </row>
    <row r="82" spans="1:10" x14ac:dyDescent="0.35">
      <c r="A82" t="s">
        <v>82</v>
      </c>
      <c r="B82" s="2">
        <v>1460</v>
      </c>
      <c r="C82" s="2">
        <v>2290</v>
      </c>
      <c r="D82" s="1">
        <v>0.36</v>
      </c>
      <c r="E82">
        <v>0</v>
      </c>
      <c r="F82" t="s">
        <v>115</v>
      </c>
      <c r="G82" s="2">
        <f t="shared" si="3"/>
        <v>830</v>
      </c>
      <c r="H82" t="str">
        <f t="shared" si="4"/>
        <v>Mid-Range</v>
      </c>
      <c r="I82" t="str">
        <f t="shared" si="5"/>
        <v>Medium</v>
      </c>
      <c r="J82" t="str" cm="1">
        <f t="array" ref="J82">_xlfn.IFS(F82="Not Rated", "Not Rated", F82&lt;3, "Poor", F82&lt;=4, "Average", F82&lt;=4.5, "Good", F82&gt;4.5, "Excellent")</f>
        <v>Not Rated</v>
      </c>
    </row>
    <row r="83" spans="1:10" x14ac:dyDescent="0.35">
      <c r="A83" t="s">
        <v>83</v>
      </c>
      <c r="B83" s="2">
        <v>1666</v>
      </c>
      <c r="C83" s="2">
        <v>1699</v>
      </c>
      <c r="D83" s="1">
        <v>0.02</v>
      </c>
      <c r="E83">
        <v>0</v>
      </c>
      <c r="F83" t="s">
        <v>115</v>
      </c>
      <c r="G83" s="2">
        <f t="shared" si="3"/>
        <v>33</v>
      </c>
      <c r="H83" t="str">
        <f t="shared" si="4"/>
        <v>Premium</v>
      </c>
      <c r="I83" t="str">
        <f t="shared" si="5"/>
        <v xml:space="preserve">Low </v>
      </c>
      <c r="J83" t="str" cm="1">
        <f t="array" ref="J83">_xlfn.IFS(F83="Not Rated", "Not Rated", F83&lt;3, "Poor", F83&lt;=4, "Average", F83&lt;=4.5, "Good", F83&gt;4.5, "Excellent")</f>
        <v>Not Rated</v>
      </c>
    </row>
    <row r="84" spans="1:10" x14ac:dyDescent="0.35">
      <c r="A84" t="s">
        <v>84</v>
      </c>
      <c r="B84" s="2">
        <v>330</v>
      </c>
      <c r="C84" s="2">
        <v>647</v>
      </c>
      <c r="D84" s="1">
        <v>0.49</v>
      </c>
      <c r="E84">
        <v>1</v>
      </c>
      <c r="F84" s="5">
        <v>4</v>
      </c>
      <c r="G84" s="2">
        <f t="shared" si="3"/>
        <v>317</v>
      </c>
      <c r="H84" t="str">
        <f t="shared" si="4"/>
        <v>Budget</v>
      </c>
      <c r="I84" t="str">
        <f t="shared" si="5"/>
        <v>High</v>
      </c>
      <c r="J84" t="str" cm="1">
        <f t="array" ref="J84">_xlfn.IFS(F84="Not Rated", "Not Rated", F84&lt;3, "Poor", F84&lt;=4, "Average", F84&lt;=4.5, "Good", F84&gt;4.5, "Excellent")</f>
        <v>Average</v>
      </c>
    </row>
    <row r="85" spans="1:10" x14ac:dyDescent="0.35">
      <c r="A85" t="s">
        <v>51</v>
      </c>
      <c r="B85" s="2">
        <v>176</v>
      </c>
      <c r="C85" s="2">
        <v>345</v>
      </c>
      <c r="D85" s="1">
        <v>0.49</v>
      </c>
      <c r="E85">
        <v>0</v>
      </c>
      <c r="F85" t="s">
        <v>115</v>
      </c>
      <c r="G85" s="2">
        <f t="shared" si="3"/>
        <v>169</v>
      </c>
      <c r="H85" t="str">
        <f t="shared" si="4"/>
        <v>Budget</v>
      </c>
      <c r="I85" t="str">
        <f t="shared" si="5"/>
        <v>High</v>
      </c>
      <c r="J85" t="str" cm="1">
        <f t="array" ref="J85">_xlfn.IFS(F85="Not Rated", "Not Rated", F85&lt;3, "Poor", F85&lt;=4, "Average", F85&lt;=4.5, "Good", F85&gt;4.5, "Excellent")</f>
        <v>Not Rated</v>
      </c>
    </row>
    <row r="86" spans="1:10" x14ac:dyDescent="0.35">
      <c r="A86" t="s">
        <v>85</v>
      </c>
      <c r="B86" s="2">
        <v>1466</v>
      </c>
      <c r="C86" s="2">
        <v>1699</v>
      </c>
      <c r="D86" s="1">
        <v>0.14000000000000001</v>
      </c>
      <c r="E86">
        <v>0</v>
      </c>
      <c r="F86" t="s">
        <v>115</v>
      </c>
      <c r="G86" s="2">
        <f t="shared" si="3"/>
        <v>233</v>
      </c>
      <c r="H86" t="str">
        <f t="shared" si="4"/>
        <v>Mid-Range</v>
      </c>
      <c r="I86" t="str">
        <f t="shared" si="5"/>
        <v xml:space="preserve">Low </v>
      </c>
      <c r="J86" t="str" cm="1">
        <f t="array" ref="J86">_xlfn.IFS(F86="Not Rated", "Not Rated", F86&lt;3, "Poor", F86&lt;=4, "Average", F86&lt;=4.5, "Good", F86&gt;4.5, "Excellent")</f>
        <v>Not Rated</v>
      </c>
    </row>
    <row r="87" spans="1:10" x14ac:dyDescent="0.35">
      <c r="A87" t="s">
        <v>86</v>
      </c>
      <c r="B87" s="2">
        <v>274</v>
      </c>
      <c r="C87" s="2">
        <v>537</v>
      </c>
      <c r="D87" s="1">
        <v>0.49</v>
      </c>
      <c r="E87">
        <v>0</v>
      </c>
      <c r="F87" t="s">
        <v>115</v>
      </c>
      <c r="G87" s="2">
        <f t="shared" si="3"/>
        <v>263</v>
      </c>
      <c r="H87" t="str">
        <f t="shared" si="4"/>
        <v>Budget</v>
      </c>
      <c r="I87" t="str">
        <f t="shared" si="5"/>
        <v>High</v>
      </c>
      <c r="J87" t="str" cm="1">
        <f t="array" ref="J87">_xlfn.IFS(F87="Not Rated", "Not Rated", F87&lt;3, "Poor", F87&lt;=4, "Average", F87&lt;=4.5, "Good", F87&gt;4.5, "Excellent")</f>
        <v>Not Rated</v>
      </c>
    </row>
    <row r="88" spans="1:10" x14ac:dyDescent="0.35">
      <c r="A88" t="s">
        <v>87</v>
      </c>
      <c r="B88" s="2">
        <v>799</v>
      </c>
      <c r="C88" s="2">
        <v>900</v>
      </c>
      <c r="D88" s="1">
        <v>0.11</v>
      </c>
      <c r="E88">
        <v>0</v>
      </c>
      <c r="F88" t="s">
        <v>115</v>
      </c>
      <c r="G88" s="2">
        <f t="shared" si="3"/>
        <v>101</v>
      </c>
      <c r="H88" t="str">
        <f t="shared" si="4"/>
        <v>Mid-Range</v>
      </c>
      <c r="I88" t="str">
        <f t="shared" si="5"/>
        <v xml:space="preserve">Low </v>
      </c>
      <c r="J88" t="str" cm="1">
        <f t="array" ref="J88">_xlfn.IFS(F88="Not Rated", "Not Rated", F88&lt;3, "Poor", F88&lt;=4, "Average", F88&lt;=4.5, "Good", F88&gt;4.5, "Excellent")</f>
        <v>Not Rated</v>
      </c>
    </row>
    <row r="89" spans="1:10" x14ac:dyDescent="0.35">
      <c r="A89" t="s">
        <v>59</v>
      </c>
      <c r="B89" s="2">
        <v>657</v>
      </c>
      <c r="C89" s="2">
        <v>1288</v>
      </c>
      <c r="D89" s="1">
        <v>0.49</v>
      </c>
      <c r="E89">
        <v>0</v>
      </c>
      <c r="F89" t="s">
        <v>115</v>
      </c>
      <c r="G89" s="2">
        <f t="shared" si="3"/>
        <v>631</v>
      </c>
      <c r="H89" t="str">
        <f t="shared" si="4"/>
        <v>Mid-Range</v>
      </c>
      <c r="I89" t="str">
        <f t="shared" si="5"/>
        <v>High</v>
      </c>
      <c r="J89" t="str" cm="1">
        <f t="array" ref="J89">_xlfn.IFS(F89="Not Rated", "Not Rated", F89&lt;3, "Poor", F89&lt;=4, "Average", F89&lt;=4.5, "Good", F89&gt;4.5, "Excellent")</f>
        <v>Not Rated</v>
      </c>
    </row>
    <row r="90" spans="1:10" x14ac:dyDescent="0.35">
      <c r="A90" t="s">
        <v>88</v>
      </c>
      <c r="B90" s="2">
        <v>1468</v>
      </c>
      <c r="C90" s="2">
        <v>1699</v>
      </c>
      <c r="D90" s="1">
        <v>0.14000000000000001</v>
      </c>
      <c r="E90">
        <v>0</v>
      </c>
      <c r="F90" t="s">
        <v>115</v>
      </c>
      <c r="G90" s="2">
        <f t="shared" si="3"/>
        <v>231</v>
      </c>
      <c r="H90" t="str">
        <f t="shared" si="4"/>
        <v>Mid-Range</v>
      </c>
      <c r="I90" t="str">
        <f t="shared" si="5"/>
        <v xml:space="preserve">Low </v>
      </c>
      <c r="J90" t="str" cm="1">
        <f t="array" ref="J90">_xlfn.IFS(F90="Not Rated", "Not Rated", F90&lt;3, "Poor", F90&lt;=4, "Average", F90&lt;=4.5, "Good", F90&gt;4.5, "Excellent")</f>
        <v>Not Rated</v>
      </c>
    </row>
    <row r="91" spans="1:10" x14ac:dyDescent="0.35">
      <c r="A91" t="s">
        <v>89</v>
      </c>
      <c r="B91" s="2">
        <v>630</v>
      </c>
      <c r="C91" s="2">
        <v>1100</v>
      </c>
      <c r="D91" s="1">
        <v>0.43</v>
      </c>
      <c r="E91">
        <v>0</v>
      </c>
      <c r="F91" t="s">
        <v>115</v>
      </c>
      <c r="G91" s="2">
        <f t="shared" si="3"/>
        <v>470</v>
      </c>
      <c r="H91" t="str">
        <f t="shared" si="4"/>
        <v>Mid-Range</v>
      </c>
      <c r="I91" t="str">
        <f t="shared" si="5"/>
        <v>High</v>
      </c>
      <c r="J91" t="str" cm="1">
        <f t="array" ref="J91">_xlfn.IFS(F91="Not Rated", "Not Rated", F91&lt;3, "Poor", F91&lt;=4, "Average", F91&lt;=4.5, "Good", F91&gt;4.5, "Excellent")</f>
        <v>Not Rated</v>
      </c>
    </row>
    <row r="92" spans="1:10" x14ac:dyDescent="0.35">
      <c r="A92" t="s">
        <v>90</v>
      </c>
      <c r="B92" s="2">
        <v>850</v>
      </c>
      <c r="C92" s="2">
        <v>1700</v>
      </c>
      <c r="D92" s="1">
        <v>0.5</v>
      </c>
      <c r="E92">
        <v>0</v>
      </c>
      <c r="F92" t="s">
        <v>115</v>
      </c>
      <c r="G92" s="2">
        <f t="shared" si="3"/>
        <v>850</v>
      </c>
      <c r="H92" t="str">
        <f t="shared" si="4"/>
        <v>Mid-Range</v>
      </c>
      <c r="I92" t="str">
        <f t="shared" si="5"/>
        <v>High</v>
      </c>
      <c r="J92" t="str" cm="1">
        <f t="array" ref="J92">_xlfn.IFS(F92="Not Rated", "Not Rated", F92&lt;3, "Poor", F92&lt;=4, "Average", F92&lt;=4.5, "Good", F92&gt;4.5, "Excellent")</f>
        <v>Not Rated</v>
      </c>
    </row>
    <row r="93" spans="1:10" x14ac:dyDescent="0.35">
      <c r="A93" t="s">
        <v>91</v>
      </c>
      <c r="B93" s="2">
        <v>1300</v>
      </c>
      <c r="C93" s="2">
        <v>2500</v>
      </c>
      <c r="D93" s="1">
        <v>0.48</v>
      </c>
      <c r="E93">
        <v>0</v>
      </c>
      <c r="F93" t="s">
        <v>115</v>
      </c>
      <c r="G93" s="2">
        <f t="shared" si="3"/>
        <v>1200</v>
      </c>
      <c r="H93" t="str">
        <f t="shared" si="4"/>
        <v>Mid-Range</v>
      </c>
      <c r="I93" t="str">
        <f t="shared" si="5"/>
        <v>High</v>
      </c>
      <c r="J93" t="str" cm="1">
        <f t="array" ref="J93">_xlfn.IFS(F93="Not Rated", "Not Rated", F93&lt;3, "Poor", F93&lt;=4, "Average", F93&lt;=4.5, "Good", F93&gt;4.5, "Excellent")</f>
        <v>Not Rated</v>
      </c>
    </row>
    <row r="94" spans="1:10" x14ac:dyDescent="0.35">
      <c r="A94" t="s">
        <v>92</v>
      </c>
      <c r="B94" s="2">
        <v>105</v>
      </c>
      <c r="C94" s="2">
        <v>200</v>
      </c>
      <c r="D94" s="1">
        <v>0.48</v>
      </c>
      <c r="E94">
        <v>0</v>
      </c>
      <c r="F94" t="s">
        <v>115</v>
      </c>
      <c r="G94" s="2">
        <f t="shared" si="3"/>
        <v>95</v>
      </c>
      <c r="H94" t="str">
        <f t="shared" si="4"/>
        <v>Budget</v>
      </c>
      <c r="I94" t="str">
        <f t="shared" si="5"/>
        <v>High</v>
      </c>
      <c r="J94" t="str" cm="1">
        <f t="array" ref="J94">_xlfn.IFS(F94="Not Rated", "Not Rated", F94&lt;3, "Poor", F94&lt;=4, "Average", F94&lt;=4.5, "Good", F94&gt;4.5, "Excellent")</f>
        <v>Not Rated</v>
      </c>
    </row>
    <row r="95" spans="1:10" x14ac:dyDescent="0.35">
      <c r="A95" t="s">
        <v>93</v>
      </c>
      <c r="B95" s="2">
        <v>899</v>
      </c>
      <c r="C95" s="2">
        <v>1699</v>
      </c>
      <c r="D95" s="1">
        <v>0.47</v>
      </c>
      <c r="E95">
        <v>0</v>
      </c>
      <c r="F95" t="s">
        <v>115</v>
      </c>
      <c r="G95" s="2">
        <f t="shared" si="3"/>
        <v>800</v>
      </c>
      <c r="H95" t="str">
        <f t="shared" si="4"/>
        <v>Mid-Range</v>
      </c>
      <c r="I95" t="str">
        <f t="shared" si="5"/>
        <v>High</v>
      </c>
      <c r="J95" t="str" cm="1">
        <f t="array" ref="J95">_xlfn.IFS(F95="Not Rated", "Not Rated", F95&lt;3, "Poor", F95&lt;=4, "Average", F95&lt;=4.5, "Good", F95&gt;4.5, "Excellent")</f>
        <v>Not Rated</v>
      </c>
    </row>
    <row r="96" spans="1:10" x14ac:dyDescent="0.35">
      <c r="A96" t="s">
        <v>94</v>
      </c>
      <c r="B96" s="2">
        <v>1200</v>
      </c>
      <c r="C96" s="2">
        <v>2400</v>
      </c>
      <c r="D96" s="1">
        <v>0.5</v>
      </c>
      <c r="E96">
        <v>0</v>
      </c>
      <c r="F96" t="s">
        <v>115</v>
      </c>
      <c r="G96" s="2">
        <f t="shared" si="3"/>
        <v>1200</v>
      </c>
      <c r="H96" t="str">
        <f t="shared" si="4"/>
        <v>Mid-Range</v>
      </c>
      <c r="I96" t="str">
        <f t="shared" si="5"/>
        <v>High</v>
      </c>
      <c r="J96" t="str" cm="1">
        <f t="array" ref="J96">_xlfn.IFS(F96="Not Rated", "Not Rated", F96&lt;3, "Poor", F96&lt;=4, "Average", F96&lt;=4.5, "Good", F96&gt;4.5, "Excellent")</f>
        <v>Not Rated</v>
      </c>
    </row>
    <row r="97" spans="1:10" x14ac:dyDescent="0.35">
      <c r="A97" t="s">
        <v>95</v>
      </c>
      <c r="B97" s="2">
        <v>1526</v>
      </c>
      <c r="C97" s="2">
        <v>1660</v>
      </c>
      <c r="D97" s="1">
        <v>0.08</v>
      </c>
      <c r="E97">
        <v>0</v>
      </c>
      <c r="F97" t="s">
        <v>115</v>
      </c>
      <c r="G97" s="2">
        <f t="shared" si="3"/>
        <v>134</v>
      </c>
      <c r="H97" t="str">
        <f t="shared" si="4"/>
        <v>Premium</v>
      </c>
      <c r="I97" t="str">
        <f t="shared" si="5"/>
        <v xml:space="preserve">Low </v>
      </c>
      <c r="J97" t="str" cm="1">
        <f t="array" ref="J97">_xlfn.IFS(F97="Not Rated", "Not Rated", F97&lt;3, "Poor", F97&lt;=4, "Average", F97&lt;=4.5, "Good", F97&gt;4.5, "Excellent")</f>
        <v>Not Rated</v>
      </c>
    </row>
    <row r="98" spans="1:10" x14ac:dyDescent="0.35">
      <c r="A98" t="s">
        <v>96</v>
      </c>
      <c r="B98" s="2">
        <v>1462</v>
      </c>
      <c r="C98" s="2">
        <v>1499</v>
      </c>
      <c r="D98" s="1">
        <v>0.02</v>
      </c>
      <c r="E98">
        <v>0</v>
      </c>
      <c r="F98" t="s">
        <v>115</v>
      </c>
      <c r="G98" s="2">
        <f t="shared" si="3"/>
        <v>37</v>
      </c>
      <c r="H98" t="str">
        <f t="shared" si="4"/>
        <v>Mid-Range</v>
      </c>
      <c r="I98" t="str">
        <f t="shared" si="5"/>
        <v xml:space="preserve">Low </v>
      </c>
      <c r="J98" t="str" cm="1">
        <f t="array" ref="J98">_xlfn.IFS(F98="Not Rated", "Not Rated", F98&lt;3, "Poor", F98&lt;=4, "Average", F98&lt;=4.5, "Good", F98&gt;4.5, "Excellent")</f>
        <v>Not Rated</v>
      </c>
    </row>
    <row r="99" spans="1:10" x14ac:dyDescent="0.35">
      <c r="A99" t="s">
        <v>97</v>
      </c>
      <c r="B99" s="2">
        <v>248</v>
      </c>
      <c r="C99" s="2">
        <v>486</v>
      </c>
      <c r="D99" s="1">
        <v>0.49</v>
      </c>
      <c r="E99">
        <v>0</v>
      </c>
      <c r="F99" t="s">
        <v>115</v>
      </c>
      <c r="G99" s="2">
        <f t="shared" si="3"/>
        <v>238</v>
      </c>
      <c r="H99" t="str">
        <f t="shared" si="4"/>
        <v>Budget</v>
      </c>
      <c r="I99" t="str">
        <f t="shared" si="5"/>
        <v>High</v>
      </c>
      <c r="J99" t="str" cm="1">
        <f t="array" ref="J99">_xlfn.IFS(F99="Not Rated", "Not Rated", F99&lt;3, "Poor", F99&lt;=4, "Average", F99&lt;=4.5, "Good", F99&gt;4.5, "Excellent")</f>
        <v>Not Rated</v>
      </c>
    </row>
    <row r="100" spans="1:10" x14ac:dyDescent="0.35">
      <c r="A100" t="s">
        <v>98</v>
      </c>
      <c r="B100" s="2">
        <v>3546</v>
      </c>
      <c r="C100" s="2">
        <v>3699</v>
      </c>
      <c r="D100" s="1">
        <v>0.04</v>
      </c>
      <c r="E100">
        <v>0</v>
      </c>
      <c r="F100" t="s">
        <v>115</v>
      </c>
      <c r="G100" s="2">
        <f t="shared" si="3"/>
        <v>153</v>
      </c>
      <c r="H100" t="str">
        <f t="shared" si="4"/>
        <v>Premium</v>
      </c>
      <c r="I100" t="str">
        <f t="shared" si="5"/>
        <v xml:space="preserve">Low </v>
      </c>
      <c r="J100" t="str" cm="1">
        <f t="array" ref="J100">_xlfn.IFS(F100="Not Rated", "Not Rated", F100&lt;3, "Poor", F100&lt;=4, "Average", F100&lt;=4.5, "Good", F100&gt;4.5, "Excellent")</f>
        <v>Not Rated</v>
      </c>
    </row>
    <row r="101" spans="1:10" x14ac:dyDescent="0.35">
      <c r="A101" t="s">
        <v>99</v>
      </c>
      <c r="B101" s="2">
        <v>525</v>
      </c>
      <c r="C101" s="2">
        <v>1029</v>
      </c>
      <c r="D101" s="1">
        <v>0.49</v>
      </c>
      <c r="E101">
        <v>0</v>
      </c>
      <c r="F101" t="s">
        <v>115</v>
      </c>
      <c r="G101" s="2">
        <f t="shared" si="3"/>
        <v>504</v>
      </c>
      <c r="H101" t="str">
        <f t="shared" si="4"/>
        <v>Mid-Range</v>
      </c>
      <c r="I101" t="str">
        <f t="shared" si="5"/>
        <v>High</v>
      </c>
      <c r="J101" t="str" cm="1">
        <f t="array" ref="J101">_xlfn.IFS(F101="Not Rated", "Not Rated", F101&lt;3, "Poor", F101&lt;=4, "Average", F101&lt;=4.5, "Good", F101&gt;4.5, "Excellent")</f>
        <v>Not Rated</v>
      </c>
    </row>
    <row r="102" spans="1:10" x14ac:dyDescent="0.35">
      <c r="A102" t="s">
        <v>100</v>
      </c>
      <c r="B102" s="2">
        <v>1080</v>
      </c>
      <c r="C102" s="2">
        <v>1874</v>
      </c>
      <c r="D102" s="1">
        <v>0.42</v>
      </c>
      <c r="E102">
        <v>0</v>
      </c>
      <c r="F102" t="s">
        <v>115</v>
      </c>
      <c r="G102" s="2">
        <f t="shared" si="3"/>
        <v>794</v>
      </c>
      <c r="H102" t="str">
        <f t="shared" si="4"/>
        <v>Mid-Range</v>
      </c>
      <c r="I102" t="str">
        <f t="shared" si="5"/>
        <v>High</v>
      </c>
      <c r="J102" t="str" cm="1">
        <f t="array" ref="J102">_xlfn.IFS(F102="Not Rated", "Not Rated", F102&lt;3, "Poor", F102&lt;=4, "Average", F102&lt;=4.5, "Good", F102&gt;4.5, "Excellent")</f>
        <v>Not Rated</v>
      </c>
    </row>
    <row r="103" spans="1:10" x14ac:dyDescent="0.35">
      <c r="A103" t="s">
        <v>101</v>
      </c>
      <c r="B103" s="2">
        <v>3640</v>
      </c>
      <c r="C103" s="2">
        <v>4588</v>
      </c>
      <c r="D103" s="1">
        <v>0.21</v>
      </c>
      <c r="E103">
        <v>1</v>
      </c>
      <c r="F103" s="5">
        <v>5</v>
      </c>
      <c r="G103" s="2">
        <f t="shared" si="3"/>
        <v>948</v>
      </c>
      <c r="H103" t="str">
        <f t="shared" si="4"/>
        <v>Premium</v>
      </c>
      <c r="I103" t="str">
        <f t="shared" si="5"/>
        <v>Medium</v>
      </c>
      <c r="J103" t="str" cm="1">
        <f t="array" ref="J103">_xlfn.IFS(F103="Not Rated", "Not Rated", F103&lt;3, "Poor", F103&lt;=4, "Average", F103&lt;=4.5, "Good", F103&gt;4.5, "Excellent")</f>
        <v>Excellent</v>
      </c>
    </row>
    <row r="104" spans="1:10" x14ac:dyDescent="0.35">
      <c r="A104" t="s">
        <v>102</v>
      </c>
      <c r="B104" s="2">
        <v>1420</v>
      </c>
      <c r="C104" s="2">
        <v>2420</v>
      </c>
      <c r="D104" s="1">
        <v>0.41</v>
      </c>
      <c r="E104">
        <v>0</v>
      </c>
      <c r="F104" t="s">
        <v>115</v>
      </c>
      <c r="G104" s="2">
        <f t="shared" si="3"/>
        <v>1000</v>
      </c>
      <c r="H104" t="str">
        <f t="shared" si="4"/>
        <v>Mid-Range</v>
      </c>
      <c r="I104" t="str">
        <f t="shared" si="5"/>
        <v>High</v>
      </c>
      <c r="J104" t="str" cm="1">
        <f t="array" ref="J104">_xlfn.IFS(F104="Not Rated", "Not Rated", F104&lt;3, "Poor", F104&lt;=4, "Average", F104&lt;=4.5, "Good", F104&gt;4.5, "Excellent")</f>
        <v>Not Rated</v>
      </c>
    </row>
    <row r="105" spans="1:10" x14ac:dyDescent="0.35">
      <c r="A105" t="s">
        <v>103</v>
      </c>
      <c r="B105" s="2">
        <v>1875</v>
      </c>
      <c r="C105" s="2">
        <v>1899</v>
      </c>
      <c r="D105" s="1">
        <v>0.01</v>
      </c>
      <c r="E105">
        <v>0</v>
      </c>
      <c r="F105" t="s">
        <v>115</v>
      </c>
      <c r="G105" s="2">
        <f t="shared" si="3"/>
        <v>24</v>
      </c>
      <c r="H105" t="str">
        <f t="shared" si="4"/>
        <v>Premium</v>
      </c>
      <c r="I105" t="str">
        <f t="shared" si="5"/>
        <v xml:space="preserve">Low </v>
      </c>
      <c r="J105" t="str" cm="1">
        <f t="array" ref="J105">_xlfn.IFS(F105="Not Rated", "Not Rated", F105&lt;3, "Poor", F105&lt;=4, "Average", F105&lt;=4.5, "Good", F105&gt;4.5, "Excellent")</f>
        <v>Not Rated</v>
      </c>
    </row>
    <row r="106" spans="1:10" x14ac:dyDescent="0.35">
      <c r="A106" t="s">
        <v>104</v>
      </c>
      <c r="B106" s="2">
        <v>198</v>
      </c>
      <c r="C106" s="2">
        <v>260</v>
      </c>
      <c r="D106" s="1">
        <v>0.24</v>
      </c>
      <c r="E106">
        <v>0</v>
      </c>
      <c r="F106" t="s">
        <v>115</v>
      </c>
      <c r="G106" s="2">
        <f t="shared" si="3"/>
        <v>62</v>
      </c>
      <c r="H106" t="str">
        <f t="shared" si="4"/>
        <v>Budget</v>
      </c>
      <c r="I106" t="str">
        <f t="shared" si="5"/>
        <v>Medium</v>
      </c>
      <c r="J106" t="str" cm="1">
        <f t="array" ref="J106">_xlfn.IFS(F106="Not Rated", "Not Rated", F106&lt;3, "Poor", F106&lt;=4, "Average", F106&lt;=4.5, "Good", F106&gt;4.5, "Excellent")</f>
        <v>Not Rated</v>
      </c>
    </row>
    <row r="107" spans="1:10" x14ac:dyDescent="0.35">
      <c r="A107" t="s">
        <v>105</v>
      </c>
      <c r="B107" s="2">
        <v>1150</v>
      </c>
      <c r="C107" s="2">
        <v>1737</v>
      </c>
      <c r="D107" s="1">
        <v>0.34</v>
      </c>
      <c r="E107">
        <v>0</v>
      </c>
      <c r="F107" t="s">
        <v>115</v>
      </c>
      <c r="G107" s="2">
        <f t="shared" si="3"/>
        <v>587</v>
      </c>
      <c r="H107" t="str">
        <f t="shared" si="4"/>
        <v>Mid-Range</v>
      </c>
      <c r="I107" t="str">
        <f t="shared" si="5"/>
        <v>Medium</v>
      </c>
      <c r="J107" t="str" cm="1">
        <f t="array" ref="J107">_xlfn.IFS(F107="Not Rated", "Not Rated", F107&lt;3, "Poor", F107&lt;=4, "Average", F107&lt;=4.5, "Good", F107&gt;4.5, "Excellent")</f>
        <v>Not Rated</v>
      </c>
    </row>
    <row r="108" spans="1:10" x14ac:dyDescent="0.35">
      <c r="A108" t="s">
        <v>106</v>
      </c>
      <c r="B108" s="2">
        <v>1190</v>
      </c>
      <c r="C108" s="2">
        <v>1810</v>
      </c>
      <c r="D108" s="1">
        <v>0.34</v>
      </c>
      <c r="E108">
        <v>0</v>
      </c>
      <c r="F108" t="s">
        <v>115</v>
      </c>
      <c r="G108" s="2">
        <f t="shared" si="3"/>
        <v>620</v>
      </c>
      <c r="H108" t="str">
        <f t="shared" si="4"/>
        <v>Mid-Range</v>
      </c>
      <c r="I108" t="str">
        <f t="shared" si="5"/>
        <v>Medium</v>
      </c>
      <c r="J108" t="str" cm="1">
        <f t="array" ref="J108">_xlfn.IFS(F108="Not Rated", "Not Rated", F108&lt;3, "Poor", F108&lt;=4, "Average", F108&lt;=4.5, "Good", F108&gt;4.5, "Excellent")</f>
        <v>Not Rated</v>
      </c>
    </row>
    <row r="109" spans="1:10" x14ac:dyDescent="0.35">
      <c r="A109" t="s">
        <v>107</v>
      </c>
      <c r="B109" s="2">
        <v>1658</v>
      </c>
      <c r="C109" s="2">
        <v>1699</v>
      </c>
      <c r="D109" s="1">
        <v>0.02</v>
      </c>
      <c r="E109">
        <v>0</v>
      </c>
      <c r="F109" t="s">
        <v>115</v>
      </c>
      <c r="G109" s="2">
        <f t="shared" si="3"/>
        <v>41</v>
      </c>
      <c r="H109" t="str">
        <f t="shared" si="4"/>
        <v>Premium</v>
      </c>
      <c r="I109" t="str">
        <f t="shared" si="5"/>
        <v xml:space="preserve">Low </v>
      </c>
      <c r="J109" t="str" cm="1">
        <f t="array" ref="J109">_xlfn.IFS(F109="Not Rated", "Not Rated", F109&lt;3, "Poor", F109&lt;=4, "Average", F109&lt;=4.5, "Good", F109&gt;4.5, "Excellent")</f>
        <v>Not Rated</v>
      </c>
    </row>
    <row r="110" spans="1:10" x14ac:dyDescent="0.35">
      <c r="A110" t="s">
        <v>108</v>
      </c>
      <c r="B110" s="2">
        <v>1768</v>
      </c>
      <c r="C110" s="2">
        <v>1799</v>
      </c>
      <c r="D110" s="1">
        <v>0.02</v>
      </c>
      <c r="E110">
        <v>0</v>
      </c>
      <c r="F110" t="s">
        <v>115</v>
      </c>
      <c r="G110" s="2">
        <f t="shared" si="3"/>
        <v>31</v>
      </c>
      <c r="H110" t="str">
        <f t="shared" si="4"/>
        <v>Premium</v>
      </c>
      <c r="I110" t="str">
        <f t="shared" si="5"/>
        <v xml:space="preserve">Low </v>
      </c>
      <c r="J110" t="str" cm="1">
        <f t="array" ref="J110">_xlfn.IFS(F110="Not Rated", "Not Rated", F110&lt;3, "Poor", F110&lt;=4, "Average", F110&lt;=4.5, "Good", F110&gt;4.5, "Excellent")</f>
        <v>Not Rated</v>
      </c>
    </row>
    <row r="111" spans="1:10" x14ac:dyDescent="0.35">
      <c r="A111" t="s">
        <v>109</v>
      </c>
      <c r="B111" s="2">
        <v>199</v>
      </c>
      <c r="C111" s="2">
        <v>553</v>
      </c>
      <c r="D111" s="1">
        <v>0.64</v>
      </c>
      <c r="E111">
        <v>0</v>
      </c>
      <c r="F111" t="s">
        <v>115</v>
      </c>
      <c r="G111" s="2">
        <f t="shared" si="3"/>
        <v>354</v>
      </c>
      <c r="H111" t="str">
        <f t="shared" si="4"/>
        <v>Budget</v>
      </c>
      <c r="I111" t="str">
        <f t="shared" si="5"/>
        <v>High</v>
      </c>
      <c r="J111" t="str" cm="1">
        <f t="array" ref="J111">_xlfn.IFS(F111="Not Rated", "Not Rated", F111&lt;3, "Poor", F111&lt;=4, "Average", F111&lt;=4.5, "Good", F111&gt;4.5, "Excellent")</f>
        <v>Not Rated</v>
      </c>
    </row>
    <row r="112" spans="1:10" x14ac:dyDescent="0.35">
      <c r="A112" t="s">
        <v>110</v>
      </c>
      <c r="B112" s="2">
        <v>450</v>
      </c>
      <c r="C112" s="2">
        <v>900</v>
      </c>
      <c r="D112" s="1">
        <v>0.5</v>
      </c>
      <c r="E112">
        <v>1</v>
      </c>
      <c r="F112" s="5">
        <v>2</v>
      </c>
      <c r="G112" s="2">
        <f t="shared" si="3"/>
        <v>450</v>
      </c>
      <c r="H112" t="str">
        <f t="shared" si="4"/>
        <v>Budget</v>
      </c>
      <c r="I112" t="str">
        <f t="shared" si="5"/>
        <v>High</v>
      </c>
      <c r="J112" t="str" cm="1">
        <f t="array" ref="J112">_xlfn.IFS(F112="Not Rated", "Not Rated", F112&lt;3, "Poor", F112&lt;=4, "Average", F112&lt;=4.5, "Good", F112&gt;4.5, "Excellent")</f>
        <v>Poor</v>
      </c>
    </row>
    <row r="113" spans="1:10" x14ac:dyDescent="0.35">
      <c r="A113" t="s">
        <v>111</v>
      </c>
      <c r="B113" s="2">
        <v>169</v>
      </c>
      <c r="C113" s="2">
        <v>320</v>
      </c>
      <c r="D113" s="1">
        <v>0.47</v>
      </c>
      <c r="E113">
        <v>0</v>
      </c>
      <c r="F113" t="s">
        <v>115</v>
      </c>
      <c r="G113" s="2">
        <f t="shared" si="3"/>
        <v>151</v>
      </c>
      <c r="H113" t="str">
        <f t="shared" si="4"/>
        <v>Budget</v>
      </c>
      <c r="I113" t="str">
        <f t="shared" si="5"/>
        <v>High</v>
      </c>
      <c r="J113" t="str" cm="1">
        <f t="array" ref="J113">_xlfn.IFS(F113="Not Rated", "Not Rated", F113&lt;3, "Poor", F113&lt;=4, "Average", F113&lt;=4.5, "Good", F113&gt;4.5, "Excellent")</f>
        <v>Not Rated</v>
      </c>
    </row>
    <row r="114" spans="1:10" x14ac:dyDescent="0.35">
      <c r="B114"/>
      <c r="C114"/>
    </row>
    <row r="115" spans="1:10" x14ac:dyDescent="0.35">
      <c r="B115"/>
      <c r="C115"/>
    </row>
    <row r="116" spans="1:10" x14ac:dyDescent="0.35">
      <c r="B116"/>
      <c r="C11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3400-C1A9-42E5-A6AF-7FF69E1593D6}">
  <dimension ref="A2:J66"/>
  <sheetViews>
    <sheetView zoomScale="85" zoomScaleNormal="85" workbookViewId="0">
      <selection activeCell="M8" sqref="M8"/>
    </sheetView>
  </sheetViews>
  <sheetFormatPr defaultRowHeight="14.5" x14ac:dyDescent="0.35"/>
  <cols>
    <col min="1" max="1" width="13.1796875" bestFit="1" customWidth="1"/>
    <col min="2" max="2" width="13.453125" style="2" bestFit="1" customWidth="1"/>
    <col min="3" max="3" width="15.26953125" bestFit="1" customWidth="1"/>
    <col min="6" max="6" width="17.7265625" customWidth="1"/>
    <col min="8" max="8" width="13.1796875" bestFit="1" customWidth="1"/>
    <col min="9" max="9" width="13.453125" bestFit="1" customWidth="1"/>
    <col min="10" max="10" width="15.26953125" bestFit="1" customWidth="1"/>
  </cols>
  <sheetData>
    <row r="2" spans="1:10" x14ac:dyDescent="0.35">
      <c r="H2" s="14" t="s">
        <v>145</v>
      </c>
      <c r="I2" s="14"/>
      <c r="J2" s="14"/>
    </row>
    <row r="3" spans="1:10" x14ac:dyDescent="0.35">
      <c r="A3" s="6" t="s">
        <v>116</v>
      </c>
      <c r="B3" s="4">
        <f>COUNTA('[1]Cleaned Data'!A2:A113)</f>
        <v>112</v>
      </c>
      <c r="H3" s="7" t="s">
        <v>125</v>
      </c>
      <c r="I3" t="s">
        <v>131</v>
      </c>
      <c r="J3" t="s">
        <v>130</v>
      </c>
    </row>
    <row r="4" spans="1:10" x14ac:dyDescent="0.35">
      <c r="A4" s="6" t="s">
        <v>117</v>
      </c>
      <c r="B4" s="4">
        <f>SUM(jumia_clean_dataset!E2:E113)</f>
        <v>723</v>
      </c>
      <c r="H4" s="8" t="s">
        <v>132</v>
      </c>
      <c r="I4" s="9">
        <v>334</v>
      </c>
      <c r="J4" s="9">
        <v>62</v>
      </c>
    </row>
    <row r="5" spans="1:10" x14ac:dyDescent="0.35">
      <c r="A5" s="6" t="s">
        <v>118</v>
      </c>
      <c r="B5" s="12">
        <f>AVERAGE(jumia_clean_dataset!B2:B113)</f>
        <v>1186.8928571428571</v>
      </c>
      <c r="H5" s="8" t="s">
        <v>133</v>
      </c>
      <c r="I5" s="9">
        <v>38</v>
      </c>
      <c r="J5" s="9">
        <v>18</v>
      </c>
    </row>
    <row r="6" spans="1:10" x14ac:dyDescent="0.35">
      <c r="A6" s="6" t="s">
        <v>119</v>
      </c>
      <c r="B6" s="13">
        <f>AVERAGE(jumia_clean_dataset!C2:C113)</f>
        <v>1811.1071428571429</v>
      </c>
      <c r="H6" s="8" t="s">
        <v>134</v>
      </c>
      <c r="I6" s="9">
        <v>351</v>
      </c>
      <c r="J6" s="9">
        <v>32</v>
      </c>
    </row>
    <row r="7" spans="1:10" x14ac:dyDescent="0.35">
      <c r="A7" s="6" t="s">
        <v>120</v>
      </c>
      <c r="B7" s="3">
        <f>AVERAGE(jumia_clean_dataset!D2:D113)</f>
        <v>0.36776785714285715</v>
      </c>
      <c r="H7" s="8" t="s">
        <v>129</v>
      </c>
      <c r="I7" s="9">
        <v>723</v>
      </c>
      <c r="J7" s="9">
        <v>112</v>
      </c>
    </row>
    <row r="8" spans="1:10" x14ac:dyDescent="0.35">
      <c r="A8" s="6" t="s">
        <v>121</v>
      </c>
      <c r="B8" s="2">
        <f>AVERAGEIF(jumia_clean_dataset!F2:F113, "&lt;&gt;Not Rated")</f>
        <v>3.8894736842105258</v>
      </c>
    </row>
    <row r="10" spans="1:10" x14ac:dyDescent="0.35">
      <c r="A10" s="14" t="s">
        <v>144</v>
      </c>
      <c r="B10" s="14"/>
      <c r="C10" s="14"/>
      <c r="H10" s="14" t="s">
        <v>124</v>
      </c>
      <c r="I10" s="14"/>
      <c r="J10" s="14"/>
    </row>
    <row r="11" spans="1:10" x14ac:dyDescent="0.35">
      <c r="A11" s="7" t="s">
        <v>125</v>
      </c>
      <c r="B11" t="s">
        <v>131</v>
      </c>
      <c r="C11" t="s">
        <v>130</v>
      </c>
      <c r="H11" s="7" t="s">
        <v>125</v>
      </c>
      <c r="I11" t="s">
        <v>131</v>
      </c>
      <c r="J11" t="s">
        <v>130</v>
      </c>
    </row>
    <row r="12" spans="1:10" x14ac:dyDescent="0.35">
      <c r="A12" s="8" t="s">
        <v>126</v>
      </c>
      <c r="B12" s="9">
        <v>232</v>
      </c>
      <c r="C12" s="9">
        <v>29</v>
      </c>
      <c r="H12" s="8" t="s">
        <v>135</v>
      </c>
      <c r="I12" s="9">
        <v>93</v>
      </c>
      <c r="J12" s="9">
        <v>13</v>
      </c>
    </row>
    <row r="13" spans="1:10" x14ac:dyDescent="0.35">
      <c r="A13" s="8" t="s">
        <v>127</v>
      </c>
      <c r="B13" s="9">
        <v>209</v>
      </c>
      <c r="C13" s="9">
        <v>46</v>
      </c>
      <c r="H13" s="8" t="s">
        <v>136</v>
      </c>
      <c r="I13" s="9">
        <v>289</v>
      </c>
      <c r="J13" s="9">
        <v>19</v>
      </c>
    </row>
    <row r="14" spans="1:10" x14ac:dyDescent="0.35">
      <c r="A14" s="8" t="s">
        <v>128</v>
      </c>
      <c r="B14" s="9">
        <v>282</v>
      </c>
      <c r="C14" s="9">
        <v>37</v>
      </c>
      <c r="H14" s="8" t="s">
        <v>137</v>
      </c>
      <c r="I14" s="9">
        <v>172</v>
      </c>
      <c r="J14" s="9">
        <v>13</v>
      </c>
    </row>
    <row r="15" spans="1:10" x14ac:dyDescent="0.35">
      <c r="A15" s="8" t="s">
        <v>129</v>
      </c>
      <c r="B15" s="9">
        <v>723</v>
      </c>
      <c r="C15" s="9">
        <v>112</v>
      </c>
      <c r="H15" s="8" t="s">
        <v>115</v>
      </c>
      <c r="I15" s="9">
        <v>0</v>
      </c>
      <c r="J15" s="9">
        <v>55</v>
      </c>
    </row>
    <row r="16" spans="1:10" x14ac:dyDescent="0.35">
      <c r="B16"/>
      <c r="H16" s="8" t="s">
        <v>138</v>
      </c>
      <c r="I16" s="9">
        <v>169</v>
      </c>
      <c r="J16" s="9">
        <v>12</v>
      </c>
    </row>
    <row r="17" spans="1:10" x14ac:dyDescent="0.35">
      <c r="A17" s="10"/>
      <c r="B17"/>
      <c r="H17" s="8" t="s">
        <v>129</v>
      </c>
      <c r="I17" s="9">
        <v>723</v>
      </c>
      <c r="J17" s="9">
        <v>112</v>
      </c>
    </row>
    <row r="18" spans="1:10" x14ac:dyDescent="0.35">
      <c r="B18"/>
    </row>
    <row r="19" spans="1:10" x14ac:dyDescent="0.35">
      <c r="A19" s="6" t="s">
        <v>139</v>
      </c>
      <c r="B19" s="6" t="s">
        <v>140</v>
      </c>
      <c r="C19" s="6" t="s">
        <v>141</v>
      </c>
    </row>
    <row r="20" spans="1:10" x14ac:dyDescent="0.35">
      <c r="A20" t="s">
        <v>142</v>
      </c>
      <c r="B20" t="str">
        <f>INDEX(jumia_clean_dataset!$A$2:$A$113, MATCH(C20, jumia_clean_dataset!$B$2:$B$113, 0))</f>
        <v>32PCS Portable Cordless Drill Set With Cyclic Battery Drive -26 Variable Speed</v>
      </c>
      <c r="C20" s="2">
        <f>MAX(jumia_clean_dataset!B2:B113)</f>
        <v>3750</v>
      </c>
    </row>
    <row r="21" spans="1:10" x14ac:dyDescent="0.35">
      <c r="A21" t="s">
        <v>143</v>
      </c>
      <c r="B21" s="2" t="str">
        <f>INDEX(jumia_clean_dataset!$A$2:$A$113, MATCH(C21, jumia_clean_dataset!$B$2:$B$113, 0))</f>
        <v>3PCS Single Head Knitting Crochet Sweater Needle Set</v>
      </c>
      <c r="C21" s="2">
        <f>MIN(jumia_clean_dataset!B2:B113)</f>
        <v>38</v>
      </c>
    </row>
    <row r="22" spans="1:10" x14ac:dyDescent="0.35">
      <c r="B22"/>
    </row>
    <row r="23" spans="1:10" x14ac:dyDescent="0.35">
      <c r="B23"/>
    </row>
    <row r="24" spans="1:10" x14ac:dyDescent="0.35">
      <c r="B24"/>
    </row>
    <row r="25" spans="1:10" x14ac:dyDescent="0.35">
      <c r="B25"/>
    </row>
    <row r="26" spans="1:10" x14ac:dyDescent="0.35">
      <c r="B26"/>
    </row>
    <row r="27" spans="1:10" x14ac:dyDescent="0.35">
      <c r="B27"/>
    </row>
    <row r="28" spans="1:10" x14ac:dyDescent="0.35">
      <c r="B28"/>
    </row>
    <row r="30" spans="1:10" x14ac:dyDescent="0.35">
      <c r="B30"/>
    </row>
    <row r="31" spans="1:10" x14ac:dyDescent="0.35">
      <c r="B31"/>
    </row>
    <row r="32" spans="1:10"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sheetData>
  <mergeCells count="3">
    <mergeCell ref="A10:C10"/>
    <mergeCell ref="H2:J2"/>
    <mergeCell ref="H10:J10"/>
  </mergeCell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4156-B218-4799-8540-B7C13DD62581}">
  <dimension ref="C11:G16"/>
  <sheetViews>
    <sheetView showGridLines="0" tabSelected="1" topLeftCell="A17" workbookViewId="0">
      <selection activeCell="K24" sqref="K24"/>
    </sheetView>
  </sheetViews>
  <sheetFormatPr defaultRowHeight="14.5" x14ac:dyDescent="0.35"/>
  <sheetData>
    <row r="11" spans="3:7" x14ac:dyDescent="0.35">
      <c r="G11" s="11"/>
    </row>
    <row r="12" spans="3:7" x14ac:dyDescent="0.35">
      <c r="C12" s="11"/>
    </row>
    <row r="13" spans="3:7" x14ac:dyDescent="0.35">
      <c r="D13" s="11"/>
    </row>
    <row r="14" spans="3:7" x14ac:dyDescent="0.35">
      <c r="D14" s="11"/>
    </row>
    <row r="16" spans="3:7" x14ac:dyDescent="0.35">
      <c r="E1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jumia_clean_dataset</vt:lpstr>
      <vt:lpstr>Dashboard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Daboz</dc:creator>
  <cp:lastModifiedBy>Davy Baraka</cp:lastModifiedBy>
  <dcterms:created xsi:type="dcterms:W3CDTF">2026-09-14T05:13:09Z</dcterms:created>
  <dcterms:modified xsi:type="dcterms:W3CDTF">2026-09-15T15:30:06Z</dcterms:modified>
</cp:coreProperties>
</file>